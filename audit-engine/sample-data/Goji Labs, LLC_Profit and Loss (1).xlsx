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4" i="1" l="1"/>
</calcChain>
</file>

<file path=xl/sharedStrings.xml><?xml version="1.0" encoding="utf-8"?>
<sst xmlns="http://schemas.openxmlformats.org/spreadsheetml/2006/main" count="89" uniqueCount="88">
  <si>
    <t>Profit and Loss</t>
  </si>
  <si>
    <t>Goji Labs, LLC</t>
  </si>
  <si>
    <t>January 1, 2024-December 31, 2025</t>
  </si>
  <si>
    <t>Income</t>
  </si>
  <si>
    <t>Discounts given</t>
  </si>
  <si>
    <t>Hosting and Maintenance</t>
  </si>
  <si>
    <t>Interest Income</t>
  </si>
  <si>
    <t>Services</t>
  </si>
  <si>
    <t>Total for Income</t>
  </si>
  <si>
    <t>Cost of Goods Sold</t>
  </si>
  <si>
    <t>Design</t>
  </si>
  <si>
    <t>Development</t>
  </si>
  <si>
    <t>Freight &amp; delivery - COS</t>
  </si>
  <si>
    <t>Third Party Software</t>
  </si>
  <si>
    <t>Web Hosting</t>
  </si>
  <si>
    <t>Total for Cost of Goods Sold</t>
  </si>
  <si>
    <t>Gross Profit</t>
  </si>
  <si>
    <t>Expenses</t>
  </si>
  <si>
    <t>Automobile Expense</t>
  </si>
  <si>
    <t>Bad Debts</t>
  </si>
  <si>
    <t>Bank Charges</t>
  </si>
  <si>
    <t>Dues &amp; Subscriptions</t>
  </si>
  <si>
    <t>Dues &amp; Memberships</t>
  </si>
  <si>
    <t>Software Subscriptions</t>
  </si>
  <si>
    <t>Total for Dues &amp; Subscriptions</t>
  </si>
  <si>
    <t>Education and Training</t>
  </si>
  <si>
    <t>Insurance</t>
  </si>
  <si>
    <t>Legal &amp; Professional Fees</t>
  </si>
  <si>
    <t>Marketing and Advertising</t>
  </si>
  <si>
    <t>Meals and Entertainment</t>
  </si>
  <si>
    <t>Office Expenses</t>
  </si>
  <si>
    <t>Office Rent</t>
  </si>
  <si>
    <t>QuickBooks Payments Fees ( 72 )</t>
  </si>
  <si>
    <t>Recruitment Expenses</t>
  </si>
  <si>
    <t>Reimbursements</t>
  </si>
  <si>
    <t>Repair &amp; Maintenance</t>
  </si>
  <si>
    <t>Salaries and Wages</t>
  </si>
  <si>
    <t>Employee Benefits</t>
  </si>
  <si>
    <t>Payroll 401K Company Contribution</t>
  </si>
  <si>
    <t>Payroll Fees</t>
  </si>
  <si>
    <t>Payroll Tax Expense</t>
  </si>
  <si>
    <t>Payroll Wages</t>
  </si>
  <si>
    <t>Pension expense</t>
  </si>
  <si>
    <t>Shareholder wages</t>
  </si>
  <si>
    <t>Total for Salaries and Wages</t>
  </si>
  <si>
    <t>Subcontractor</t>
  </si>
  <si>
    <t>Travel</t>
  </si>
  <si>
    <t>Unknown - ASK</t>
  </si>
  <si>
    <t>Utilities</t>
  </si>
  <si>
    <t>Workers’ Compensation</t>
  </si>
  <si>
    <t>Total for Expenses</t>
  </si>
  <si>
    <t>Net Operating Income</t>
  </si>
  <si>
    <t>Other Income</t>
  </si>
  <si>
    <t>Rewards</t>
  </si>
  <si>
    <t>Total for Other Income</t>
  </si>
  <si>
    <t>Other Expenses</t>
  </si>
  <si>
    <t>Depreciation Expense</t>
  </si>
  <si>
    <t>Taxes &amp; Licenses</t>
  </si>
  <si>
    <t>Total for Other Expenses</t>
  </si>
  <si>
    <t>Net Other Income</t>
  </si>
  <si>
    <t>Net Income</t>
  </si>
  <si>
    <t>Distribution account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</si>
  <si>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</si>
  <si>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</si>
  <si>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</si>
  <si>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</si>
  <si>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</si>
  <si>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</si>
  <si>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</si>
  <si>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</si>
  <si>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</si>
  <si>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</si>
  <si>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</si>
  <si>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</si>
  <si>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</si>
  <si>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</si>
  <si>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</si>
  <si>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</si>
  <si>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</si>
  <si>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</si>
  <si>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</si>
  <si>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</si>
  <si>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</si>
  <si>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</si>
  <si>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</si>
  <si>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</si>
  <si>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Total</t>
  </si>
  <si>
    <t>Accrual Basis Monday, February 02, 2026 11:41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</si>
</sst>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Z68"/>
  <sheetViews>
    <sheetView tabSelected="1" workbookViewId="0" topLeftCell="A1"/>
  </sheetViews>
  <sheetFormatPr defaultColWidth="11.255" defaultRowHeight="16" outlineLevelRow="2"/>
  <cols>
    <col min="1" max="1" width="29" style="36" customWidth="1"/>
    <col min="2" max="4" width="16.125" style="36" customWidth="1"/>
    <col min="5" max="5" width="17" style="36" customWidth="1"/>
    <col min="6" max="9" width="16.125" style="36" customWidth="1"/>
    <col min="10" max="10" width="17" style="36" customWidth="1"/>
    <col min="11" max="11" width="16.125" style="36" customWidth="1"/>
    <col min="12" max="12" width="15.25" style="36" customWidth="1"/>
    <col min="13" max="15" width="16.125" style="36" customWidth="1"/>
    <col min="16" max="16" width="9.25" style="36" customWidth="1"/>
    <col min="17" max="17" width="17" style="36" customWidth="1"/>
    <col min="18" max="25" width="16.125" style="36" customWidth="1"/>
    <col min="26" max="26" width="17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26" ht="16">
      <c r="A5" s="38" t="s">
        <v>61</v>
      </c>
      <c r="B5" s="38" t="s">
        <v>62</v>
      </c>
      <c r="C5" s="38" t="s">
        <v>63</v>
      </c>
      <c r="D5" s="38" t="s">
        <v>64</v>
      </c>
      <c r="E5" s="38" t="s">
        <v>65</v>
      </c>
      <c r="F5" s="38" t="s">
        <v>66</v>
      </c>
      <c r="G5" s="38" t="s">
        <v>67</v>
      </c>
      <c r="H5" s="38" t="s">
        <v>68</v>
      </c>
      <c r="I5" s="38" t="s">
        <v>69</v>
      </c>
      <c r="J5" s="38" t="s">
        <v>70</v>
      </c>
      <c r="K5" s="38" t="s">
        <v>71</v>
      </c>
      <c r="L5" s="38" t="s">
        <v>72</v>
      </c>
      <c r="M5" s="38" t="s">
        <v>73</v>
      </c>
      <c r="N5" s="38" t="s">
        <v>74</v>
      </c>
      <c r="O5" s="38" t="s">
        <v>75</v>
      </c>
      <c r="P5" s="38" t="s">
        <v>76</v>
      </c>
      <c r="Q5" s="38" t="s">
        <v>77</v>
      </c>
      <c r="R5" s="38" t="s">
        <v>78</v>
      </c>
      <c r="S5" s="38" t="s">
        <v>79</v>
      </c>
      <c r="T5" s="38" t="s">
        <v>80</v>
      </c>
      <c r="U5" s="38" t="s">
        <v>81</v>
      </c>
      <c r="V5" s="38" t="s">
        <v>82</v>
      </c>
      <c r="W5" s="38" t="s">
        <v>83</v>
      </c>
      <c r="X5" s="38" t="s">
        <v>84</v>
      </c>
      <c r="Y5" s="38" t="s">
        <v>85</v>
      </c>
      <c r="Z5" s="38" t="s">
        <v>86</v>
      </c>
    </row>
    <row r="6" spans="1:25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6" ht="16" outlineLevel="1">
      <c r="A7" s="32" t="s">
        <v>4</v>
      </c>
      <c r="B7" s="39"/>
      <c r="C7" s="39"/>
      <c r="D7" s="39"/>
      <c r="E7" s="39"/>
      <c r="F7" s="40">
        <v>-1000.0</v>
      </c>
      <c r="G7" s="40">
        <v>-15000.0</v>
      </c>
      <c r="H7" s="39"/>
      <c r="I7" s="39"/>
      <c r="J7" s="39"/>
      <c r="K7" s="39"/>
      <c r="L7" s="40">
        <v>-20000.0</v>
      </c>
      <c r="M7" s="40">
        <v>-15000.0</v>
      </c>
      <c r="N7" s="39"/>
      <c r="O7" s="39"/>
      <c r="P7" s="39"/>
      <c r="Q7" s="39"/>
      <c r="R7" s="39"/>
      <c r="S7" s="40">
        <v>-12150.0</v>
      </c>
      <c r="T7" s="39"/>
      <c r="U7" s="39"/>
      <c r="V7" s="39"/>
      <c r="W7" s="39"/>
      <c r="X7" s="39"/>
      <c r="Y7" s="40">
        <v>-250000.0</v>
      </c>
      <c r="Z7" s="40">
        <f>B7+C7+D7+E7+F7+G7+H7+I7+J7+K7+L7+M7+N7+O7+P7+Q7+R7+S7+T7+U7+V7+W7+X7+Y7</f>
        <v>-313150.0</v>
      </c>
    </row>
    <row r="8" spans="1:26" ht="16" outlineLevel="1">
      <c r="A8" s="32" t="s">
        <v>5</v>
      </c>
      <c r="B8" s="40">
        <v>19414.1</v>
      </c>
      <c r="C8" s="40">
        <v>11274.0</v>
      </c>
      <c r="D8" s="40">
        <v>10224.0</v>
      </c>
      <c r="E8" s="40">
        <v>11774.0</v>
      </c>
      <c r="F8" s="40">
        <v>20274.0</v>
      </c>
      <c r="G8" s="40">
        <v>12774.0</v>
      </c>
      <c r="H8" s="40">
        <v>16324.0</v>
      </c>
      <c r="I8" s="40">
        <v>18048.0</v>
      </c>
      <c r="J8" s="40">
        <v>15654.0</v>
      </c>
      <c r="K8" s="40">
        <v>18604.0</v>
      </c>
      <c r="L8" s="40">
        <v>15354.0</v>
      </c>
      <c r="M8" s="40">
        <v>17504.0</v>
      </c>
      <c r="N8" s="40">
        <v>21020.03</v>
      </c>
      <c r="O8" s="40">
        <v>12854.0</v>
      </c>
      <c r="P8" s="40">
        <v>11304.0</v>
      </c>
      <c r="Q8" s="40">
        <v>11754.0</v>
      </c>
      <c r="R8" s="40">
        <v>18654.0</v>
      </c>
      <c r="S8" s="40">
        <v>31454.0</v>
      </c>
      <c r="T8" s="40">
        <v>13904.0</v>
      </c>
      <c r="U8" s="40">
        <v>18954.0</v>
      </c>
      <c r="V8" s="40">
        <v>18204.0</v>
      </c>
      <c r="W8" s="40">
        <v>34404.0</v>
      </c>
      <c r="X8" s="40">
        <v>35504.0</v>
      </c>
      <c r="Y8" s="40">
        <v>25304.0</v>
      </c>
      <c r="Z8" s="40">
        <f>B8+C8+D8+E8+F8+G8+H8+I8+J8+K8+L8+M8+N8+O8+P8+Q8+R8+S8+T8+U8+V8+W8+X8+Y8</f>
        <v>440536.13</v>
      </c>
    </row>
    <row r="9" spans="1:26" ht="16" outlineLevel="1">
      <c r="A9" s="32" t="s">
        <v>6</v>
      </c>
      <c r="B9" s="40">
        <v>6723.23</v>
      </c>
      <c r="C9" s="40">
        <v>7008.19</v>
      </c>
      <c r="D9" s="40">
        <v>7521.27</v>
      </c>
      <c r="E9" s="40">
        <v>7309.55</v>
      </c>
      <c r="F9" s="40">
        <v>7584.25</v>
      </c>
      <c r="G9" s="40">
        <v>7908.44</v>
      </c>
      <c r="H9" s="40">
        <v>9461.68</v>
      </c>
      <c r="I9" s="40">
        <v>9618.3</v>
      </c>
      <c r="J9" s="40">
        <v>8055.9</v>
      </c>
      <c r="K9" s="40">
        <v>8992.79</v>
      </c>
      <c r="L9" s="40">
        <v>8134.77</v>
      </c>
      <c r="M9" s="40">
        <v>7710.77</v>
      </c>
      <c r="N9" s="40">
        <v>6560.16</v>
      </c>
      <c r="O9" s="40">
        <v>6051.49</v>
      </c>
      <c r="P9" s="40">
        <v>7424.92</v>
      </c>
      <c r="Q9" s="40">
        <v>6789.5</v>
      </c>
      <c r="R9" s="40">
        <v>7018.42</v>
      </c>
      <c r="S9" s="40">
        <v>6960.91</v>
      </c>
      <c r="T9" s="40">
        <v>7304.27</v>
      </c>
      <c r="U9" s="40">
        <v>10112.64</v>
      </c>
      <c r="V9" s="40">
        <v>10059.4</v>
      </c>
      <c r="W9" s="40">
        <v>11808.58</v>
      </c>
      <c r="X9" s="40">
        <v>11670.42</v>
      </c>
      <c r="Y9" s="40">
        <v>12591.37</v>
      </c>
      <c r="Z9" s="40">
        <f>B9+C9+D9+E9+F9+G9+H9+I9+J9+K9+L9+M9+N9+O9+P9+Q9+R9+S9+T9+U9+V9+W9+X9+Y9</f>
        <v>200381.22</v>
      </c>
    </row>
    <row r="10" spans="1:26" ht="16" outlineLevel="1">
      <c r="A10" s="32" t="s">
        <v>7</v>
      </c>
      <c r="B10" s="40">
        <v>574966.52</v>
      </c>
      <c r="C10" s="40">
        <v>404066.0</v>
      </c>
      <c r="D10" s="40">
        <v>330091.5</v>
      </c>
      <c r="E10" s="40">
        <v>373513.0</v>
      </c>
      <c r="F10" s="40">
        <v>1511878.5</v>
      </c>
      <c r="G10" s="40">
        <v>594948.5</v>
      </c>
      <c r="H10" s="40">
        <v>249023.0</v>
      </c>
      <c r="I10" s="40">
        <v>438906.5</v>
      </c>
      <c r="J10" s="40">
        <v>344611.5</v>
      </c>
      <c r="K10" s="40">
        <v>386006.5</v>
      </c>
      <c r="L10" s="40">
        <v>458250.43</v>
      </c>
      <c r="M10" s="40">
        <v>500031.0</v>
      </c>
      <c r="N10" s="40">
        <v>282785.21</v>
      </c>
      <c r="O10" s="40">
        <v>966017.5</v>
      </c>
      <c r="P10" s="40">
        <v>610714.0</v>
      </c>
      <c r="Q10" s="40">
        <v>366992.0</v>
      </c>
      <c r="R10" s="40">
        <v>969219.5</v>
      </c>
      <c r="S10" s="40">
        <v>1577725.0</v>
      </c>
      <c r="T10" s="40">
        <v>156842.0</v>
      </c>
      <c r="U10" s="40">
        <v>815454.0</v>
      </c>
      <c r="V10" s="40">
        <v>1283867.5</v>
      </c>
      <c r="W10" s="40">
        <v>1545807.0</v>
      </c>
      <c r="X10" s="40">
        <v>301517.5</v>
      </c>
      <c r="Y10" s="40">
        <v>2350967.5</v>
      </c>
      <c r="Z10" s="40">
        <f>B10+C10+D10+E10+F10+G10+H10+I10+J10+K10+L10+M10+N10+O10+P10+Q10+R10+S10+T10+U10+V10+W10+X10+Y10</f>
        <v>1.739420166E7</v>
      </c>
    </row>
    <row r="11" spans="1:26" ht="16">
      <c r="A11" s="33" t="s">
        <v>8</v>
      </c>
      <c r="B11" s="41">
        <f>B7+B8+B9+B10</f>
        <v>601103.85</v>
      </c>
      <c r="C11" s="41">
        <f>C7+C8+C9+C10</f>
        <v>422348.19</v>
      </c>
      <c r="D11" s="41">
        <f>D7+D8+D9+D10</f>
        <v>347836.77</v>
      </c>
      <c r="E11" s="41">
        <f>E7+E8+E9+E10</f>
        <v>392596.55</v>
      </c>
      <c r="F11" s="41">
        <f>F7+F8+F9+F10</f>
        <v>1538736.75</v>
      </c>
      <c r="G11" s="41">
        <f>G7+G8+G9+G10</f>
        <v>600630.94</v>
      </c>
      <c r="H11" s="41">
        <f>H7+H8+H9+H10</f>
        <v>274808.68</v>
      </c>
      <c r="I11" s="41">
        <f>I7+I8+I9+I10</f>
        <v>466572.8</v>
      </c>
      <c r="J11" s="41">
        <f>J7+J8+J9+J10</f>
        <v>368321.4</v>
      </c>
      <c r="K11" s="41">
        <f>K7+K8+K9+K10</f>
        <v>413603.29</v>
      </c>
      <c r="L11" s="41">
        <f>L7+L8+L9+L10</f>
        <v>461739.2</v>
      </c>
      <c r="M11" s="41">
        <f>M7+M8+M9+M10</f>
        <v>510245.77</v>
      </c>
      <c r="N11" s="41">
        <f>N7+N8+N9+N10</f>
        <v>310365.4</v>
      </c>
      <c r="O11" s="41">
        <f>O7+O8+O9+O10</f>
        <v>984922.99</v>
      </c>
      <c r="P11" s="41">
        <f>P7+P8+P9+P10</f>
        <v>629442.92</v>
      </c>
      <c r="Q11" s="41">
        <f>Q7+Q8+Q9+Q10</f>
        <v>385535.5</v>
      </c>
      <c r="R11" s="41">
        <f>R7+R8+R9+R10</f>
        <v>994891.92</v>
      </c>
      <c r="S11" s="41">
        <f>S7+S8+S9+S10</f>
        <v>1603989.91</v>
      </c>
      <c r="T11" s="41">
        <f>T7+T8+T9+T10</f>
        <v>178050.27</v>
      </c>
      <c r="U11" s="41">
        <f>U7+U8+U9+U10</f>
        <v>844520.64</v>
      </c>
      <c r="V11" s="41">
        <f>V7+V8+V9+V10</f>
        <v>1312130.9</v>
      </c>
      <c r="W11" s="41">
        <f>W7+W8+W9+W10</f>
        <v>1592019.58</v>
      </c>
      <c r="X11" s="41">
        <f>X7+X8+X9+X10</f>
        <v>348691.92</v>
      </c>
      <c r="Y11" s="41">
        <f>Y7+Y8+Y9+Y10</f>
        <v>2138862.87</v>
      </c>
      <c r="Z11" s="42">
        <f>B11+C11+D11+E11+F11+G11+H11+I11+J11+K11+L11+M11+N11+O11+P11+Q11+R11+S11+T11+U11+V11+W11+X11+Y11</f>
        <v>1.772196901E7</v>
      </c>
    </row>
    <row r="12" spans="1:25" ht="16">
      <c r="A12" s="31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6" ht="16" outlineLevel="1">
      <c r="A13" s="32" t="s">
        <v>9</v>
      </c>
      <c r="B13" s="39"/>
      <c r="C13" s="39"/>
      <c r="D13" s="39"/>
      <c r="E13" s="39"/>
      <c r="F13" s="39"/>
      <c r="G13" s="40">
        <v>-5500.0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>
        <f>B13+C13+D13+E13+F13+G13+H13+I13+J13+K13+L13+M13+N13+O13+P13+Q13+R13+S13+T13+U13+V13+W13+X13+Y13</f>
        <v>-5500.0</v>
      </c>
    </row>
    <row r="14" spans="1:26" ht="16" outlineLevel="1">
      <c r="A14" s="32" t="s">
        <v>10</v>
      </c>
      <c r="B14" s="40">
        <v>235.0</v>
      </c>
      <c r="C14" s="40">
        <v>449.0</v>
      </c>
      <c r="D14" s="40">
        <v>459.0</v>
      </c>
      <c r="E14" s="40">
        <v>404.0</v>
      </c>
      <c r="F14" s="40">
        <v>574.0</v>
      </c>
      <c r="G14" s="40">
        <v>602.0</v>
      </c>
      <c r="H14" s="40">
        <v>805.0</v>
      </c>
      <c r="I14" s="40">
        <v>1240.0</v>
      </c>
      <c r="J14" s="40">
        <v>596.0</v>
      </c>
      <c r="K14" s="40">
        <v>692.0</v>
      </c>
      <c r="L14" s="40">
        <v>2494.0</v>
      </c>
      <c r="M14" s="40">
        <v>784.0</v>
      </c>
      <c r="N14" s="40">
        <v>574.0</v>
      </c>
      <c r="O14" s="40">
        <v>764.0</v>
      </c>
      <c r="P14" s="40">
        <v>1423.0</v>
      </c>
      <c r="Q14" s="40">
        <v>2611.29</v>
      </c>
      <c r="R14" s="40">
        <v>17275.33</v>
      </c>
      <c r="S14" s="40">
        <v>5310.33</v>
      </c>
      <c r="T14" s="40">
        <v>15711.66</v>
      </c>
      <c r="U14" s="40">
        <v>892.0</v>
      </c>
      <c r="V14" s="40">
        <v>5725.33</v>
      </c>
      <c r="W14" s="40">
        <v>34870.66</v>
      </c>
      <c r="X14" s="40">
        <v>9358.0</v>
      </c>
      <c r="Y14" s="40">
        <v>67580.48</v>
      </c>
      <c r="Z14" s="40">
        <f>B14+C14+D14+E14+F14+G14+H14+I14+J14+K14+L14+M14+N14+O14+P14+Q14+R14+S14+T14+U14+V14+W14+X14+Y14</f>
        <v>171430.08000000002</v>
      </c>
    </row>
    <row r="15" spans="1:26" ht="16" outlineLevel="1">
      <c r="A15" s="32" t="s">
        <v>11</v>
      </c>
      <c r="B15" s="40">
        <v>10730.95</v>
      </c>
      <c r="C15" s="40">
        <v>15883.87</v>
      </c>
      <c r="D15" s="40">
        <v>104593.54</v>
      </c>
      <c r="E15" s="40">
        <v>97684.14</v>
      </c>
      <c r="F15" s="40">
        <v>92580.38</v>
      </c>
      <c r="G15" s="40">
        <v>115362.77</v>
      </c>
      <c r="H15" s="40">
        <v>101810.03</v>
      </c>
      <c r="I15" s="40">
        <v>206759.31</v>
      </c>
      <c r="J15" s="40">
        <v>114943.12</v>
      </c>
      <c r="K15" s="40">
        <v>124311.06</v>
      </c>
      <c r="L15" s="40">
        <v>171553.26</v>
      </c>
      <c r="M15" s="40">
        <v>397198.4</v>
      </c>
      <c r="N15" s="40">
        <v>8608.68</v>
      </c>
      <c r="O15" s="40">
        <v>7790.46</v>
      </c>
      <c r="P15" s="40">
        <v>153330.81</v>
      </c>
      <c r="Q15" s="40">
        <v>148132.03</v>
      </c>
      <c r="R15" s="40">
        <v>195127.02</v>
      </c>
      <c r="S15" s="40">
        <v>117994.16</v>
      </c>
      <c r="T15" s="40">
        <v>228925.57</v>
      </c>
      <c r="U15" s="40">
        <v>154907.63</v>
      </c>
      <c r="V15" s="40">
        <v>163258.88</v>
      </c>
      <c r="W15" s="40">
        <v>297176.97</v>
      </c>
      <c r="X15" s="40">
        <v>141386.56</v>
      </c>
      <c r="Y15" s="40">
        <v>593342.21</v>
      </c>
      <c r="Z15" s="40">
        <f>B15+C15+D15+E15+F15+G15+H15+I15+J15+K15+L15+M15+N15+O15+P15+Q15+R15+S15+T15+U15+V15+W15+X15+Y15</f>
        <v>3763391.81</v>
      </c>
    </row>
    <row r="16" spans="1:26" ht="16" outlineLevel="1">
      <c r="A16" s="32" t="s">
        <v>12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>
        <v>23.37</v>
      </c>
      <c r="Q16" s="39"/>
      <c r="R16" s="39"/>
      <c r="S16" s="39"/>
      <c r="T16" s="39"/>
      <c r="U16" s="39"/>
      <c r="V16" s="40">
        <v>204.76</v>
      </c>
      <c r="W16" s="40">
        <v>391.53</v>
      </c>
      <c r="X16" s="39"/>
      <c r="Y16" s="39"/>
      <c r="Z16" s="40">
        <f>B16+C16+D16+E16+F16+G16+H16+I16+J16+K16+L16+M16+N16+O16+P16+Q16+R16+S16+T16+U16+V16+W16+X16+Y16</f>
        <v>619.66</v>
      </c>
    </row>
    <row r="17" spans="1:26" ht="16" outlineLevel="1">
      <c r="A17" s="32" t="s">
        <v>13</v>
      </c>
      <c r="B17" s="40">
        <v>40.0</v>
      </c>
      <c r="C17" s="40">
        <v>79.95</v>
      </c>
      <c r="D17" s="40">
        <v>718.0</v>
      </c>
      <c r="E17" s="40">
        <v>500.4</v>
      </c>
      <c r="F17" s="40">
        <v>309.0</v>
      </c>
      <c r="G17" s="40">
        <v>60.0</v>
      </c>
      <c r="H17" s="40">
        <v>156.0</v>
      </c>
      <c r="I17" s="40">
        <v>60.0</v>
      </c>
      <c r="J17" s="40">
        <v>5248.02</v>
      </c>
      <c r="K17" s="40">
        <v>12354.06</v>
      </c>
      <c r="L17" s="40">
        <v>10513.7</v>
      </c>
      <c r="M17" s="40">
        <v>806.05</v>
      </c>
      <c r="N17" s="39"/>
      <c r="O17" s="39"/>
      <c r="P17" s="40">
        <v>5000.0</v>
      </c>
      <c r="Q17" s="40">
        <v>5000.0</v>
      </c>
      <c r="R17" s="40">
        <v>10000.0</v>
      </c>
      <c r="S17" s="39"/>
      <c r="T17" s="40">
        <v>5000.0</v>
      </c>
      <c r="U17" s="40">
        <v>5505.0</v>
      </c>
      <c r="V17" s="40">
        <v>5500.0</v>
      </c>
      <c r="W17" s="40">
        <v>20792.59</v>
      </c>
      <c r="X17" s="39"/>
      <c r="Y17" s="40">
        <v>14999.99</v>
      </c>
      <c r="Z17" s="40">
        <f>B17+C17+D17+E17+F17+G17+H17+I17+J17+K17+L17+M17+N17+O17+P17+Q17+R17+S17+T17+U17+V17+W17+X17+Y17</f>
        <v>102642.76</v>
      </c>
    </row>
    <row r="18" spans="1:26" ht="16" outlineLevel="1">
      <c r="A18" s="32" t="s">
        <v>14</v>
      </c>
      <c r="B18" s="40">
        <v>3989.94</v>
      </c>
      <c r="C18" s="40">
        <v>3495.78</v>
      </c>
      <c r="D18" s="40">
        <v>3990.88</v>
      </c>
      <c r="E18" s="40">
        <v>3724.77</v>
      </c>
      <c r="F18" s="40">
        <v>3970.85</v>
      </c>
      <c r="G18" s="40">
        <v>3420.9</v>
      </c>
      <c r="H18" s="40">
        <v>3559.3</v>
      </c>
      <c r="I18" s="40">
        <v>3644.54</v>
      </c>
      <c r="J18" s="40">
        <v>3634.2</v>
      </c>
      <c r="K18" s="40">
        <v>4142.99</v>
      </c>
      <c r="L18" s="40">
        <v>4294.68</v>
      </c>
      <c r="M18" s="40">
        <v>4304.14</v>
      </c>
      <c r="N18" s="40">
        <v>4353.36</v>
      </c>
      <c r="O18" s="40">
        <v>7983.64</v>
      </c>
      <c r="P18" s="40">
        <v>4390.23</v>
      </c>
      <c r="Q18" s="40">
        <v>4475.75</v>
      </c>
      <c r="R18" s="40">
        <v>4494.0</v>
      </c>
      <c r="S18" s="40">
        <v>4717.66</v>
      </c>
      <c r="T18" s="40">
        <v>4315.2</v>
      </c>
      <c r="U18" s="40">
        <v>4389.67</v>
      </c>
      <c r="V18" s="40">
        <v>666.95</v>
      </c>
      <c r="W18" s="40">
        <v>8168.17</v>
      </c>
      <c r="X18" s="40">
        <v>1145.27</v>
      </c>
      <c r="Y18" s="40">
        <v>8372.25</v>
      </c>
      <c r="Z18" s="40">
        <f>B18+C18+D18+E18+F18+G18+H18+I18+J18+K18+L18+M18+N18+O18+P18+Q18+R18+S18+T18+U18+V18+W18+X18+Y18</f>
        <v>103645.12</v>
      </c>
    </row>
    <row r="19" spans="1:26" ht="16">
      <c r="A19" s="33" t="s">
        <v>15</v>
      </c>
      <c r="B19" s="41">
        <f>B13+B14+B15+B16+B17+B18</f>
        <v>14995.890000000001</v>
      </c>
      <c r="C19" s="41">
        <f>C13+C14+C15+C16+C17+C18</f>
        <v>19908.6</v>
      </c>
      <c r="D19" s="41">
        <f>D13+D14+D15+D16+D17+D18</f>
        <v>109761.42</v>
      </c>
      <c r="E19" s="41">
        <f>E13+E14+E15+E16+E17+E18</f>
        <v>102313.31</v>
      </c>
      <c r="F19" s="41">
        <f>F13+F14+F15+F16+F17+F18</f>
        <v>97434.23000000001</v>
      </c>
      <c r="G19" s="41">
        <f>G13+G14+G15+G16+G17+G18</f>
        <v>113945.67</v>
      </c>
      <c r="H19" s="41">
        <f>H13+H14+H15+H16+H17+H18</f>
        <v>106330.33</v>
      </c>
      <c r="I19" s="41">
        <f>I13+I14+I15+I16+I17+I18</f>
        <v>211703.85</v>
      </c>
      <c r="J19" s="41">
        <f>J13+J14+J15+J16+J17+J18</f>
        <v>124421.34</v>
      </c>
      <c r="K19" s="41">
        <f>K13+K14+K15+K16+K17+K18</f>
        <v>141500.11</v>
      </c>
      <c r="L19" s="41">
        <f>L13+L14+L15+L16+L17+L18</f>
        <v>188855.64</v>
      </c>
      <c r="M19" s="41">
        <f>M13+M14+M15+M16+M17+M18</f>
        <v>403092.59</v>
      </c>
      <c r="N19" s="41">
        <f>N13+N14+N15+N16+N17+N18</f>
        <v>13536.04</v>
      </c>
      <c r="O19" s="41">
        <f>O13+O14+O15+O16+O17+O18</f>
        <v>16538.1</v>
      </c>
      <c r="P19" s="41">
        <f>P13+P14+P15+P16+P17+P18</f>
        <v>164167.41</v>
      </c>
      <c r="Q19" s="41">
        <f>Q13+Q14+Q15+Q16+Q17+Q18</f>
        <v>160219.07</v>
      </c>
      <c r="R19" s="41">
        <f>R13+R14+R15+R16+R17+R18</f>
        <v>226896.34999999998</v>
      </c>
      <c r="S19" s="41">
        <f>S13+S14+S15+S16+S17+S18</f>
        <v>128022.15000000001</v>
      </c>
      <c r="T19" s="41">
        <f>T13+T14+T15+T16+T17+T18</f>
        <v>253952.43000000002</v>
      </c>
      <c r="U19" s="41">
        <f>U13+U14+U15+U16+U17+U18</f>
        <v>165694.30000000002</v>
      </c>
      <c r="V19" s="41">
        <f>V13+V14+V15+V16+V17+V18</f>
        <v>175355.92</v>
      </c>
      <c r="W19" s="41">
        <f>W13+W14+W15+W16+W17+W18</f>
        <v>361399.92000000004</v>
      </c>
      <c r="X19" s="41">
        <f>X13+X14+X15+X16+X17+X18</f>
        <v>151889.83</v>
      </c>
      <c r="Y19" s="41">
        <f>Y13+Y14+Y15+Y16+Y17+Y18</f>
        <v>684294.9299999999</v>
      </c>
      <c r="Z19" s="42">
        <f>B19+C19+D19+E19+F19+G19+H19+I19+J19+K19+L19+M19+N19+O19+P19+Q19+R19+S19+T19+U19+V19+W19+X19+Y19</f>
        <v>4136229.4299999997</v>
      </c>
    </row>
    <row r="20" spans="1:26" ht="16">
      <c r="A20" s="33" t="s">
        <v>16</v>
      </c>
      <c r="B20" s="41">
        <f>B11-B19</f>
        <v>586107.96</v>
      </c>
      <c r="C20" s="41">
        <f>C11-C19</f>
        <v>402439.59</v>
      </c>
      <c r="D20" s="41">
        <f>D11-D19</f>
        <v>238075.35000000003</v>
      </c>
      <c r="E20" s="41">
        <f>E11-E19</f>
        <v>290283.24</v>
      </c>
      <c r="F20" s="41">
        <f>F11-F19</f>
        <v>1441302.52</v>
      </c>
      <c r="G20" s="41">
        <f>G11-G19</f>
        <v>486685.26999999996</v>
      </c>
      <c r="H20" s="41">
        <f>H11-H19</f>
        <v>168478.34999999998</v>
      </c>
      <c r="I20" s="41">
        <f>I11-I19</f>
        <v>254868.94999999998</v>
      </c>
      <c r="J20" s="41">
        <f>J11-J19</f>
        <v>243900.06000000003</v>
      </c>
      <c r="K20" s="41">
        <f>K11-K19</f>
        <v>272103.18</v>
      </c>
      <c r="L20" s="41">
        <f>L11-L19</f>
        <v>272883.56</v>
      </c>
      <c r="M20" s="41">
        <f>M11-M19</f>
        <v>107153.18</v>
      </c>
      <c r="N20" s="41">
        <f>N11-N19</f>
        <v>296829.36000000004</v>
      </c>
      <c r="O20" s="41">
        <f>O11-O19</f>
        <v>968384.89</v>
      </c>
      <c r="P20" s="41">
        <f>P11-P19</f>
        <v>465275.51</v>
      </c>
      <c r="Q20" s="41">
        <f>Q11-Q19</f>
        <v>225316.43</v>
      </c>
      <c r="R20" s="41">
        <f>R11-R19</f>
        <v>767995.5700000001</v>
      </c>
      <c r="S20" s="41">
        <f>S11-S19</f>
        <v>1475967.76</v>
      </c>
      <c r="T20" s="41">
        <f>T11-T19</f>
        <v>-75902.16000000003</v>
      </c>
      <c r="U20" s="41">
        <f>U11-U19</f>
        <v>678826.34</v>
      </c>
      <c r="V20" s="41">
        <f>V11-V19</f>
        <v>1136774.98</v>
      </c>
      <c r="W20" s="41">
        <f>W11-W19</f>
        <v>1230619.6600000001</v>
      </c>
      <c r="X20" s="41">
        <f>X11-X19</f>
        <v>196802.09</v>
      </c>
      <c r="Y20" s="41">
        <f>Y11-Y19</f>
        <v>1454567.9400000002</v>
      </c>
      <c r="Z20" s="42">
        <f>B20+C20+D20+E20+F20+G20+H20+I20+J20+K20+L20+M20+N20+O20+P20+Q20+R20+S20+T20+U20+V20+W20+X20+Y20</f>
        <v>1.358573958E7</v>
      </c>
    </row>
    <row r="21" spans="1:25" ht="16">
      <c r="A21" s="31" t="s">
        <v>17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6" ht="16" outlineLevel="1">
      <c r="A22" s="32" t="s">
        <v>18</v>
      </c>
      <c r="B22" s="40">
        <v>64.37</v>
      </c>
      <c r="C22" s="40">
        <v>146.85</v>
      </c>
      <c r="D22" s="40">
        <v>26.04</v>
      </c>
      <c r="E22" s="40">
        <v>401.03</v>
      </c>
      <c r="F22" s="40">
        <v>35.92</v>
      </c>
      <c r="G22" s="40">
        <v>95.35</v>
      </c>
      <c r="H22" s="40">
        <v>173.42</v>
      </c>
      <c r="I22" s="40">
        <v>10.0</v>
      </c>
      <c r="J22" s="40">
        <v>271.94</v>
      </c>
      <c r="K22" s="40">
        <v>15.78</v>
      </c>
      <c r="L22" s="39"/>
      <c r="M22" s="40">
        <v>105.95</v>
      </c>
      <c r="N22" s="40">
        <v>87.85</v>
      </c>
      <c r="O22" s="40">
        <v>103.23</v>
      </c>
      <c r="P22" s="40">
        <v>36.13</v>
      </c>
      <c r="Q22" s="40">
        <v>59.35</v>
      </c>
      <c r="R22" s="40">
        <v>81.95</v>
      </c>
      <c r="S22" s="40">
        <v>42.22</v>
      </c>
      <c r="T22" s="40">
        <v>90.36</v>
      </c>
      <c r="U22" s="40">
        <v>16.99</v>
      </c>
      <c r="V22" s="40">
        <v>73.49</v>
      </c>
      <c r="W22" s="39"/>
      <c r="X22" s="40">
        <v>18.99</v>
      </c>
      <c r="Y22" s="39"/>
      <c r="Z22" s="40">
        <f>B22+C22+D22+E22+F22+G22+H22+I22+J22+K22+L22+M22+N22+O22+P22+Q22+R22+S22+T22+U22+V22+W22+X22+Y22</f>
        <v>1957.2099999999998</v>
      </c>
    </row>
    <row r="23" spans="1:26" ht="16" outlineLevel="1">
      <c r="A23" s="32" t="s">
        <v>19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>
        <v>7000.0</v>
      </c>
      <c r="O23" s="39"/>
      <c r="P23" s="39"/>
      <c r="Q23" s="39"/>
      <c r="R23" s="39"/>
      <c r="S23" s="39"/>
      <c r="T23" s="39"/>
      <c r="U23" s="39"/>
      <c r="V23" s="39"/>
      <c r="W23" s="40">
        <v>95080.39</v>
      </c>
      <c r="X23" s="39"/>
      <c r="Y23" s="39"/>
      <c r="Z23" s="40">
        <f>B23+C23+D23+E23+F23+G23+H23+I23+J23+K23+L23+M23+N23+O23+P23+Q23+R23+S23+T23+U23+V23+W23+X23+Y23</f>
        <v>102080.39</v>
      </c>
    </row>
    <row r="24" spans="1:26" ht="16" outlineLevel="1">
      <c r="A24" s="32" t="s">
        <v>20</v>
      </c>
      <c r="B24" s="40">
        <v>1214.35</v>
      </c>
      <c r="C24" s="40">
        <v>693.91</v>
      </c>
      <c r="D24" s="40">
        <v>152.0</v>
      </c>
      <c r="E24" s="40">
        <v>276.6</v>
      </c>
      <c r="F24" s="40">
        <v>2018.6</v>
      </c>
      <c r="G24" s="40">
        <v>193.0</v>
      </c>
      <c r="H24" s="40">
        <v>229.2</v>
      </c>
      <c r="I24" s="40">
        <v>255.2</v>
      </c>
      <c r="J24" s="40">
        <v>256.0</v>
      </c>
      <c r="K24" s="40">
        <v>303.8</v>
      </c>
      <c r="L24" s="40">
        <v>0</v>
      </c>
      <c r="M24" s="40">
        <v>414.6</v>
      </c>
      <c r="N24" s="40">
        <v>532.8</v>
      </c>
      <c r="O24" s="40">
        <v>166.2</v>
      </c>
      <c r="P24" s="40">
        <v>76.4</v>
      </c>
      <c r="Q24" s="40">
        <v>483.0</v>
      </c>
      <c r="R24" s="40">
        <v>219.5</v>
      </c>
      <c r="S24" s="40">
        <v>199.3</v>
      </c>
      <c r="T24" s="40">
        <v>1004.7</v>
      </c>
      <c r="U24" s="40">
        <v>322.6</v>
      </c>
      <c r="V24" s="40">
        <v>104.3</v>
      </c>
      <c r="W24" s="40">
        <v>249.3</v>
      </c>
      <c r="X24" s="40">
        <v>289.9</v>
      </c>
      <c r="Y24" s="40">
        <v>250.7</v>
      </c>
      <c r="Z24" s="40">
        <f>B24+C24+D24+E24+F24+G24+H24+I24+J24+K24+L24+M24+N24+O24+P24+Q24+R24+S24+T24+U24+V24+W24+X24+Y24</f>
        <v>9905.96</v>
      </c>
    </row>
    <row r="25" spans="1:26" ht="16" outlineLevel="1">
      <c r="A25" s="32" t="s">
        <v>21</v>
      </c>
      <c r="B25" s="40">
        <v>29.99</v>
      </c>
      <c r="C25" s="40">
        <v>29.99</v>
      </c>
      <c r="D25" s="40">
        <v>29.99</v>
      </c>
      <c r="E25" s="40">
        <v>29.99</v>
      </c>
      <c r="F25" s="40">
        <v>59.99</v>
      </c>
      <c r="G25" s="40">
        <v>240.89</v>
      </c>
      <c r="H25" s="40">
        <v>84.99</v>
      </c>
      <c r="I25" s="40">
        <v>98.49</v>
      </c>
      <c r="J25" s="40">
        <v>156.87</v>
      </c>
      <c r="K25" s="40">
        <v>3193.23</v>
      </c>
      <c r="L25" s="40">
        <v>419.56</v>
      </c>
      <c r="M25" s="40">
        <v>269.49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0">
        <f>B25+C25+D25+E25+F25+G25+H25+I25+J25+K25+L25+M25+N25+O25+P25+Q25+R25+S25+T25+U25+V25+W25+X25+Y25</f>
        <v>4643.47</v>
      </c>
    </row>
    <row r="26" spans="1:26" ht="16" outlineLevel="2">
      <c r="A26" s="34" t="s">
        <v>22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>
        <v>29.99</v>
      </c>
      <c r="O26" s="40">
        <v>29.99</v>
      </c>
      <c r="P26" s="40">
        <v>29.99</v>
      </c>
      <c r="Q26" s="40">
        <v>259.11</v>
      </c>
      <c r="R26" s="40">
        <v>29.99</v>
      </c>
      <c r="S26" s="40">
        <v>89.98</v>
      </c>
      <c r="T26" s="40">
        <v>29.99</v>
      </c>
      <c r="U26" s="40">
        <v>29.99</v>
      </c>
      <c r="V26" s="40">
        <v>29.99</v>
      </c>
      <c r="W26" s="40">
        <v>29.99</v>
      </c>
      <c r="X26" s="40">
        <v>29.99</v>
      </c>
      <c r="Y26" s="40">
        <v>124.99</v>
      </c>
      <c r="Z26" s="40">
        <f>B26+C26+D26+E26+F26+G26+H26+I26+J26+K26+L26+M26+N26+O26+P26+Q26+R26+S26+T26+U26+V26+W26+X26+Y26</f>
        <v>743.9900000000001</v>
      </c>
    </row>
    <row r="27" spans="1:26" ht="16" outlineLevel="2">
      <c r="A27" s="34" t="s">
        <v>23</v>
      </c>
      <c r="B27" s="40">
        <v>989.34</v>
      </c>
      <c r="C27" s="40">
        <v>885.13</v>
      </c>
      <c r="D27" s="40">
        <v>9946.35</v>
      </c>
      <c r="E27" s="40">
        <v>-2112.38</v>
      </c>
      <c r="F27" s="40">
        <v>667.27</v>
      </c>
      <c r="G27" s="40">
        <v>4557.58</v>
      </c>
      <c r="H27" s="40">
        <v>1951.97</v>
      </c>
      <c r="I27" s="40">
        <v>2482.42</v>
      </c>
      <c r="J27" s="40">
        <v>5166.56</v>
      </c>
      <c r="K27" s="40">
        <v>2410.12</v>
      </c>
      <c r="L27" s="40">
        <v>1952.42</v>
      </c>
      <c r="M27" s="40">
        <v>4688.61</v>
      </c>
      <c r="N27" s="40">
        <v>3859.6</v>
      </c>
      <c r="O27" s="40">
        <v>3798.36</v>
      </c>
      <c r="P27" s="40">
        <v>15683.74</v>
      </c>
      <c r="Q27" s="40">
        <v>4165.91</v>
      </c>
      <c r="R27" s="40">
        <v>4322.06</v>
      </c>
      <c r="S27" s="40">
        <v>10325.15</v>
      </c>
      <c r="T27" s="40">
        <v>5124.6</v>
      </c>
      <c r="U27" s="40">
        <v>9897.05</v>
      </c>
      <c r="V27" s="40">
        <v>6075.05</v>
      </c>
      <c r="W27" s="40">
        <v>9320.89</v>
      </c>
      <c r="X27" s="40">
        <v>6188.77</v>
      </c>
      <c r="Y27" s="40">
        <v>5274.1</v>
      </c>
      <c r="Z27" s="40">
        <f>B27+C27+D27+E27+F27+G27+H27+I27+J27+K27+L27+M27+N27+O27+P27+Q27+R27+S27+T27+U27+V27+W27+X27+Y27</f>
        <v>117620.67000000001</v>
      </c>
    </row>
    <row r="28" spans="1:26" ht="16" outlineLevel="1">
      <c r="A28" s="35" t="s">
        <v>24</v>
      </c>
      <c r="B28" s="41">
        <f>B25+B26+B27</f>
        <v>1019.33</v>
      </c>
      <c r="C28" s="41">
        <f>C25+C26+C27</f>
        <v>915.12</v>
      </c>
      <c r="D28" s="41">
        <f>D25+D26+D27</f>
        <v>9976.34</v>
      </c>
      <c r="E28" s="41">
        <f>E25+E26+E27</f>
        <v>-2082.3900000000003</v>
      </c>
      <c r="F28" s="41">
        <f>F25+F26+F27</f>
        <v>727.26</v>
      </c>
      <c r="G28" s="41">
        <f>G25+G26+G27</f>
        <v>4798.47</v>
      </c>
      <c r="H28" s="41">
        <f>H25+H26+H27</f>
        <v>2036.96</v>
      </c>
      <c r="I28" s="41">
        <f>I25+I26+I27</f>
        <v>2580.91</v>
      </c>
      <c r="J28" s="41">
        <f>J25+J26+J27</f>
        <v>5323.43</v>
      </c>
      <c r="K28" s="41">
        <f>K25+K26+K27</f>
        <v>5603.35</v>
      </c>
      <c r="L28" s="41">
        <f>L25+L26+L27</f>
        <v>2371.98</v>
      </c>
      <c r="M28" s="41">
        <f>M25+M26+M27</f>
        <v>4958.099999999999</v>
      </c>
      <c r="N28" s="41">
        <f>N25+N26+N27</f>
        <v>3889.5899999999997</v>
      </c>
      <c r="O28" s="41">
        <f>O25+O26+O27</f>
        <v>3828.35</v>
      </c>
      <c r="P28" s="41">
        <f>P25+P26+P27</f>
        <v>15713.73</v>
      </c>
      <c r="Q28" s="41">
        <f>Q25+Q26+Q27</f>
        <v>4425.0199999999995</v>
      </c>
      <c r="R28" s="41">
        <f>R25+R26+R27</f>
        <v>4352.05</v>
      </c>
      <c r="S28" s="41">
        <f>S25+S26+S27</f>
        <v>10415.13</v>
      </c>
      <c r="T28" s="41">
        <f>T25+T26+T27</f>
        <v>5154.59</v>
      </c>
      <c r="U28" s="41">
        <f>U25+U26+U27</f>
        <v>9927.039999999999</v>
      </c>
      <c r="V28" s="41">
        <f>V25+V26+V27</f>
        <v>6105.04</v>
      </c>
      <c r="W28" s="41">
        <f>W25+W26+W27</f>
        <v>9350.88</v>
      </c>
      <c r="X28" s="41">
        <f>X25+X26+X27</f>
        <v>6218.76</v>
      </c>
      <c r="Y28" s="41">
        <f>Y25+Y26+Y27</f>
        <v>5399.09</v>
      </c>
      <c r="Z28" s="42">
        <f>B28+C28+D28+E28+F28+G28+H28+I28+J28+K28+L28+M28+N28+O28+P28+Q28+R28+S28+T28+U28+V28+W28+X28+Y28</f>
        <v>123008.12999999999</v>
      </c>
    </row>
    <row r="29" spans="1:26" ht="16" outlineLevel="1">
      <c r="A29" s="32" t="s">
        <v>25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>
        <v>8160.48</v>
      </c>
      <c r="W29" s="39"/>
      <c r="X29" s="39"/>
      <c r="Y29" s="40">
        <v>3034.65</v>
      </c>
      <c r="Z29" s="40">
        <f>B29+C29+D29+E29+F29+G29+H29+I29+J29+K29+L29+M29+N29+O29+P29+Q29+R29+S29+T29+U29+V29+W29+X29+Y29</f>
        <v>11195.13</v>
      </c>
    </row>
    <row r="30" spans="1:26" ht="16" outlineLevel="1">
      <c r="A30" s="32" t="s">
        <v>26</v>
      </c>
      <c r="B30" s="40">
        <v>144.27</v>
      </c>
      <c r="C30" s="40">
        <v>113.9</v>
      </c>
      <c r="D30" s="40">
        <v>271.25</v>
      </c>
      <c r="E30" s="40">
        <v>366.12</v>
      </c>
      <c r="F30" s="40">
        <v>116.47</v>
      </c>
      <c r="G30" s="40">
        <v>872.18</v>
      </c>
      <c r="H30" s="40">
        <v>298.36</v>
      </c>
      <c r="I30" s="40">
        <v>63.98</v>
      </c>
      <c r="J30" s="40">
        <v>63.9</v>
      </c>
      <c r="K30" s="40">
        <v>771.53</v>
      </c>
      <c r="L30" s="40">
        <v>63.28</v>
      </c>
      <c r="M30" s="40">
        <v>843.26</v>
      </c>
      <c r="N30" s="40">
        <v>329.15</v>
      </c>
      <c r="O30" s="40">
        <v>153.92</v>
      </c>
      <c r="P30" s="40">
        <v>492.74</v>
      </c>
      <c r="Q30" s="40">
        <v>71.94</v>
      </c>
      <c r="R30" s="40">
        <v>63.38</v>
      </c>
      <c r="S30" s="40">
        <v>710.23</v>
      </c>
      <c r="T30" s="40">
        <v>302.22</v>
      </c>
      <c r="U30" s="40">
        <v>62.26</v>
      </c>
      <c r="V30" s="40">
        <v>231.26</v>
      </c>
      <c r="W30" s="40">
        <v>317.61</v>
      </c>
      <c r="X30" s="40">
        <v>62.46</v>
      </c>
      <c r="Y30" s="40">
        <v>748.18</v>
      </c>
      <c r="Z30" s="40">
        <f>B30+C30+D30+E30+F30+G30+H30+I30+J30+K30+L30+M30+N30+O30+P30+Q30+R30+S30+T30+U30+V30+W30+X30+Y30</f>
        <v>7533.849999999999</v>
      </c>
    </row>
    <row r="31" spans="1:26" ht="16" outlineLevel="1">
      <c r="A31" s="32" t="s">
        <v>27</v>
      </c>
      <c r="B31" s="40">
        <v>5530.0</v>
      </c>
      <c r="C31" s="40">
        <v>6288.0</v>
      </c>
      <c r="D31" s="40">
        <v>5530.0</v>
      </c>
      <c r="E31" s="40">
        <v>5530.0</v>
      </c>
      <c r="F31" s="40">
        <v>530.0</v>
      </c>
      <c r="G31" s="40">
        <v>5690.0</v>
      </c>
      <c r="H31" s="40">
        <v>530.0</v>
      </c>
      <c r="I31" s="40">
        <v>530.0</v>
      </c>
      <c r="J31" s="40">
        <v>530.0</v>
      </c>
      <c r="K31" s="40">
        <v>7335.0</v>
      </c>
      <c r="L31" s="40">
        <v>535.0</v>
      </c>
      <c r="M31" s="40">
        <v>9035.0</v>
      </c>
      <c r="N31" s="40">
        <v>1201.41</v>
      </c>
      <c r="O31" s="40">
        <v>2342.0</v>
      </c>
      <c r="P31" s="40">
        <v>3682.0</v>
      </c>
      <c r="Q31" s="40">
        <v>2032.0</v>
      </c>
      <c r="R31" s="40">
        <v>3053.95</v>
      </c>
      <c r="S31" s="40">
        <v>3529.0</v>
      </c>
      <c r="T31" s="40">
        <v>6532.0</v>
      </c>
      <c r="U31" s="40">
        <v>3050.0</v>
      </c>
      <c r="V31" s="40">
        <v>9895.0</v>
      </c>
      <c r="W31" s="40">
        <v>10075.0</v>
      </c>
      <c r="X31" s="40">
        <v>12876.55</v>
      </c>
      <c r="Y31" s="40">
        <v>7175.0</v>
      </c>
      <c r="Z31" s="40">
        <f>B31+C31+D31+E31+F31+G31+H31+I31+J31+K31+L31+M31+N31+O31+P31+Q31+R31+S31+T31+U31+V31+W31+X31+Y31</f>
        <v>113036.91</v>
      </c>
    </row>
    <row r="32" spans="1:26" ht="16" outlineLevel="1">
      <c r="A32" s="32" t="s">
        <v>28</v>
      </c>
      <c r="B32" s="40">
        <v>3074.32</v>
      </c>
      <c r="C32" s="40">
        <v>55039.02</v>
      </c>
      <c r="D32" s="40">
        <v>57500.89</v>
      </c>
      <c r="E32" s="40">
        <v>54895.76</v>
      </c>
      <c r="F32" s="40">
        <v>62880.28</v>
      </c>
      <c r="G32" s="40">
        <v>66005.0</v>
      </c>
      <c r="H32" s="40">
        <v>67055.44</v>
      </c>
      <c r="I32" s="40">
        <v>53486.29</v>
      </c>
      <c r="J32" s="40">
        <v>112156.44</v>
      </c>
      <c r="K32" s="40">
        <v>17291.09</v>
      </c>
      <c r="L32" s="40">
        <v>97493.53</v>
      </c>
      <c r="M32" s="40">
        <v>168875.71</v>
      </c>
      <c r="N32" s="40">
        <v>46751.34</v>
      </c>
      <c r="O32" s="40">
        <v>27279.86</v>
      </c>
      <c r="P32" s="40">
        <v>67369.51</v>
      </c>
      <c r="Q32" s="40">
        <v>69159.53</v>
      </c>
      <c r="R32" s="40">
        <v>68666.97</v>
      </c>
      <c r="S32" s="40">
        <v>69061.66</v>
      </c>
      <c r="T32" s="40">
        <v>72609.37</v>
      </c>
      <c r="U32" s="40">
        <v>75142.75</v>
      </c>
      <c r="V32" s="40">
        <v>79218.95</v>
      </c>
      <c r="W32" s="40">
        <v>111154.66</v>
      </c>
      <c r="X32" s="40">
        <v>57713.49</v>
      </c>
      <c r="Y32" s="40">
        <v>470972.18</v>
      </c>
      <c r="Z32" s="40">
        <f>B32+C32+D32+E32+F32+G32+H32+I32+J32+K32+L32+M32+N32+O32+P32+Q32+R32+S32+T32+U32+V32+W32+X32+Y32</f>
        <v>2030854.0399999996</v>
      </c>
    </row>
    <row r="33" spans="1:26" ht="16" outlineLevel="1">
      <c r="A33" s="32" t="s">
        <v>29</v>
      </c>
      <c r="B33" s="40">
        <v>2913.98</v>
      </c>
      <c r="C33" s="40">
        <v>904.66</v>
      </c>
      <c r="D33" s="40">
        <v>36807.99</v>
      </c>
      <c r="E33" s="40">
        <v>368.94</v>
      </c>
      <c r="F33" s="40">
        <v>1440.91</v>
      </c>
      <c r="G33" s="40">
        <v>1519.33</v>
      </c>
      <c r="H33" s="40">
        <v>610.42</v>
      </c>
      <c r="I33" s="40">
        <v>1053.83</v>
      </c>
      <c r="J33" s="40">
        <v>1082.34</v>
      </c>
      <c r="K33" s="40">
        <v>1429.04</v>
      </c>
      <c r="L33" s="40">
        <v>1204.1</v>
      </c>
      <c r="M33" s="40">
        <v>13594.67</v>
      </c>
      <c r="N33" s="40">
        <v>884.88</v>
      </c>
      <c r="O33" s="40">
        <v>387.47</v>
      </c>
      <c r="P33" s="40">
        <v>172.5</v>
      </c>
      <c r="Q33" s="40">
        <v>4409.73</v>
      </c>
      <c r="R33" s="40">
        <v>1161.3</v>
      </c>
      <c r="S33" s="40">
        <v>327.27</v>
      </c>
      <c r="T33" s="40">
        <v>285.59</v>
      </c>
      <c r="U33" s="40">
        <v>341.84</v>
      </c>
      <c r="V33" s="40">
        <v>2272.69</v>
      </c>
      <c r="W33" s="40">
        <v>314.32</v>
      </c>
      <c r="X33" s="40">
        <v>412.42</v>
      </c>
      <c r="Y33" s="40">
        <v>271.65</v>
      </c>
      <c r="Z33" s="40">
        <f>B33+C33+D33+E33+F33+G33+H33+I33+J33+K33+L33+M33+N33+O33+P33+Q33+R33+S33+T33+U33+V33+W33+X33+Y33</f>
        <v>74171.87</v>
      </c>
    </row>
    <row r="34" spans="1:26" ht="16" outlineLevel="1">
      <c r="A34" s="32" t="s">
        <v>30</v>
      </c>
      <c r="B34" s="39"/>
      <c r="C34" s="40">
        <v>742.91</v>
      </c>
      <c r="D34" s="40">
        <v>21125.69</v>
      </c>
      <c r="E34" s="40">
        <v>283.11</v>
      </c>
      <c r="F34" s="40">
        <v>50.35</v>
      </c>
      <c r="G34" s="40">
        <v>218.08</v>
      </c>
      <c r="H34" s="40">
        <v>65.66</v>
      </c>
      <c r="I34" s="40">
        <v>-65.66</v>
      </c>
      <c r="J34" s="40">
        <v>-103.5</v>
      </c>
      <c r="K34" s="40">
        <v>3777.2</v>
      </c>
      <c r="L34" s="40">
        <v>-105.32</v>
      </c>
      <c r="M34" s="40">
        <v>21797.17</v>
      </c>
      <c r="N34" s="40">
        <v>2099.9</v>
      </c>
      <c r="O34" s="40">
        <v>68.8</v>
      </c>
      <c r="P34" s="40">
        <v>41.34</v>
      </c>
      <c r="Q34" s="40">
        <v>5039.96</v>
      </c>
      <c r="R34" s="40">
        <v>812.12</v>
      </c>
      <c r="S34" s="39"/>
      <c r="T34" s="40">
        <v>179.33</v>
      </c>
      <c r="U34" s="40">
        <v>500.0</v>
      </c>
      <c r="V34" s="40">
        <v>525.67</v>
      </c>
      <c r="W34" s="40">
        <v>2250.01</v>
      </c>
      <c r="X34" s="40">
        <v>1918.53</v>
      </c>
      <c r="Y34" s="40">
        <v>26847.33</v>
      </c>
      <c r="Z34" s="40">
        <f>B34+C34+D34+E34+F34+G34+H34+I34+J34+K34+L34+M34+N34+O34+P34+Q34+R34+S34+T34+U34+V34+W34+X34+Y34</f>
        <v>88068.68000000001</v>
      </c>
    </row>
    <row r="35" spans="1:26" ht="16" outlineLevel="1">
      <c r="A35" s="32" t="s">
        <v>31</v>
      </c>
      <c r="B35" s="40">
        <v>274.21</v>
      </c>
      <c r="C35" s="40">
        <v>850.0</v>
      </c>
      <c r="D35" s="40">
        <v>38750.5</v>
      </c>
      <c r="E35" s="40">
        <v>1849.79</v>
      </c>
      <c r="F35" s="40">
        <v>923.98</v>
      </c>
      <c r="G35" s="40">
        <v>850.0</v>
      </c>
      <c r="H35" s="40">
        <v>850.0</v>
      </c>
      <c r="I35" s="40">
        <v>911.22</v>
      </c>
      <c r="J35" s="40">
        <v>850.0</v>
      </c>
      <c r="K35" s="40">
        <v>850.0</v>
      </c>
      <c r="L35" s="40">
        <v>1362.41</v>
      </c>
      <c r="M35" s="40">
        <v>46558.4</v>
      </c>
      <c r="N35" s="40">
        <v>1000.0</v>
      </c>
      <c r="O35" s="40">
        <v>1000.0</v>
      </c>
      <c r="P35" s="40">
        <v>1000.0</v>
      </c>
      <c r="Q35" s="40">
        <v>1000.0</v>
      </c>
      <c r="R35" s="40">
        <v>1000.0</v>
      </c>
      <c r="S35" s="40">
        <v>1057.7</v>
      </c>
      <c r="T35" s="40">
        <v>1000.0</v>
      </c>
      <c r="U35" s="40">
        <v>1000.0</v>
      </c>
      <c r="V35" s="39"/>
      <c r="W35" s="40">
        <v>900.0</v>
      </c>
      <c r="X35" s="40">
        <v>1000.0</v>
      </c>
      <c r="Y35" s="40">
        <v>-100.0</v>
      </c>
      <c r="Z35" s="40">
        <f>B35+C35+D35+E35+F35+G35+H35+I35+J35+K35+L35+M35+N35+O35+P35+Q35+R35+S35+T35+U35+V35+W35+X35+Y35</f>
        <v>104738.21</v>
      </c>
    </row>
    <row r="36" spans="1:26" ht="16" outlineLevel="1">
      <c r="A36" s="32" t="s">
        <v>32</v>
      </c>
      <c r="B36" s="40">
        <v>2531.36</v>
      </c>
      <c r="C36" s="40">
        <v>2822.86</v>
      </c>
      <c r="D36" s="40">
        <v>1198.62</v>
      </c>
      <c r="E36" s="40">
        <v>3505.66</v>
      </c>
      <c r="F36" s="40">
        <v>3874.22</v>
      </c>
      <c r="G36" s="40">
        <v>3355.16</v>
      </c>
      <c r="H36" s="40">
        <v>4704.69</v>
      </c>
      <c r="I36" s="40">
        <v>4894.26</v>
      </c>
      <c r="J36" s="40">
        <v>2236.66</v>
      </c>
      <c r="K36" s="40">
        <v>3625.82</v>
      </c>
      <c r="L36" s="40">
        <v>4451.12</v>
      </c>
      <c r="M36" s="40">
        <v>5914.22</v>
      </c>
      <c r="N36" s="40">
        <v>2034.59</v>
      </c>
      <c r="O36" s="40">
        <v>5500.65</v>
      </c>
      <c r="P36" s="40">
        <v>3901.69</v>
      </c>
      <c r="Q36" s="40">
        <v>3786.76</v>
      </c>
      <c r="R36" s="40">
        <v>3549.19</v>
      </c>
      <c r="S36" s="40">
        <v>5734.62</v>
      </c>
      <c r="T36" s="40">
        <v>3789.9</v>
      </c>
      <c r="U36" s="40">
        <v>2921.52</v>
      </c>
      <c r="V36" s="40">
        <v>7104.6</v>
      </c>
      <c r="W36" s="40">
        <v>2957.0</v>
      </c>
      <c r="X36" s="40">
        <v>8321.73</v>
      </c>
      <c r="Y36" s="40">
        <v>791.69</v>
      </c>
      <c r="Z36" s="40">
        <f>B36+C36+D36+E36+F36+G36+H36+I36+J36+K36+L36+M36+N36+O36+P36+Q36+R36+S36+T36+U36+V36+W36+X36+Y36</f>
        <v>93508.59</v>
      </c>
    </row>
    <row r="37" spans="1:26" ht="16" outlineLevel="1">
      <c r="A37" s="32" t="s">
        <v>33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0">
        <v>6300.0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40">
        <v>54100.0</v>
      </c>
      <c r="Y37" s="39"/>
      <c r="Z37" s="40">
        <f>B37+C37+D37+E37+F37+G37+H37+I37+J37+K37+L37+M37+N37+O37+P37+Q37+R37+S37+T37+U37+V37+W37+X37+Y37</f>
        <v>60400.0</v>
      </c>
    </row>
    <row r="38" spans="1:26" ht="16" outlineLevel="1">
      <c r="A38" s="32" t="s">
        <v>34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0">
        <v>1359.85</v>
      </c>
      <c r="S38" s="39"/>
      <c r="T38" s="39"/>
      <c r="U38" s="39"/>
      <c r="V38" s="39"/>
      <c r="W38" s="40">
        <v>600.0</v>
      </c>
      <c r="X38" s="39"/>
      <c r="Y38" s="39"/>
      <c r="Z38" s="40">
        <f>B38+C38+D38+E38+F38+G38+H38+I38+J38+K38+L38+M38+N38+O38+P38+Q38+R38+S38+T38+U38+V38+W38+X38+Y38</f>
        <v>1959.85</v>
      </c>
    </row>
    <row r="39" spans="1:26" ht="16" outlineLevel="1">
      <c r="A39" s="32" t="s">
        <v>35</v>
      </c>
      <c r="B39" s="39"/>
      <c r="C39" s="39"/>
      <c r="D39" s="40">
        <v>1453.91</v>
      </c>
      <c r="E39" s="39"/>
      <c r="F39" s="40">
        <v>2.0</v>
      </c>
      <c r="G39" s="39"/>
      <c r="H39" s="39"/>
      <c r="I39" s="39"/>
      <c r="J39" s="39"/>
      <c r="K39" s="39"/>
      <c r="L39" s="40">
        <v>12.0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40">
        <f>B39+C39+D39+E39+F39+G39+H39+I39+J39+K39+L39+M39+N39+O39+P39+Q39+R39+S39+T39+U39+V39+W39+X39+Y39</f>
        <v>1467.91</v>
      </c>
    </row>
    <row r="40" spans="1:26" ht="16" outlineLevel="1">
      <c r="A40" s="32" t="s">
        <v>36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6" outlineLevel="2">
      <c r="A41" s="34" t="s">
        <v>37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0">
        <v>8794.54</v>
      </c>
      <c r="O41" s="40">
        <v>8793.64</v>
      </c>
      <c r="P41" s="40">
        <v>8794.54</v>
      </c>
      <c r="Q41" s="40">
        <v>8794.18</v>
      </c>
      <c r="R41" s="40">
        <v>8794.54</v>
      </c>
      <c r="S41" s="40">
        <v>8794.18</v>
      </c>
      <c r="T41" s="40">
        <v>8794.54</v>
      </c>
      <c r="U41" s="40">
        <v>9414.36</v>
      </c>
      <c r="V41" s="40">
        <v>9414.0</v>
      </c>
      <c r="W41" s="40">
        <v>9414.36</v>
      </c>
      <c r="X41" s="40">
        <v>9414.0</v>
      </c>
      <c r="Y41" s="40">
        <v>9414.36</v>
      </c>
      <c r="Z41" s="40">
        <f>B41+C41+D41+E41+F41+G41+H41+I41+J41+K41+L41+M41+N41+O41+P41+Q41+R41+S41+T41+U41+V41+W41+X41+Y41</f>
        <v>108631.24</v>
      </c>
    </row>
    <row r="42" spans="1:26" ht="16" outlineLevel="2">
      <c r="A42" s="34" t="s">
        <v>38</v>
      </c>
      <c r="B42" s="40">
        <v>3801.98</v>
      </c>
      <c r="C42" s="40">
        <v>3790.5</v>
      </c>
      <c r="D42" s="40">
        <v>3526.98</v>
      </c>
      <c r="E42" s="40">
        <v>3526.98</v>
      </c>
      <c r="F42" s="40">
        <v>3529.06</v>
      </c>
      <c r="G42" s="40">
        <v>3256.98</v>
      </c>
      <c r="H42" s="40">
        <v>3256.98</v>
      </c>
      <c r="I42" s="40">
        <v>3256.98</v>
      </c>
      <c r="J42" s="40">
        <v>2931.74</v>
      </c>
      <c r="K42" s="40">
        <v>2606.5</v>
      </c>
      <c r="L42" s="40">
        <v>2606.5</v>
      </c>
      <c r="M42" s="40">
        <v>4139.55</v>
      </c>
      <c r="N42" s="40">
        <v>3268.02</v>
      </c>
      <c r="O42" s="40">
        <v>3424.62</v>
      </c>
      <c r="P42" s="40">
        <v>3424.66</v>
      </c>
      <c r="Q42" s="40">
        <v>3424.64</v>
      </c>
      <c r="R42" s="40">
        <v>3424.66</v>
      </c>
      <c r="S42" s="40">
        <v>3697.08</v>
      </c>
      <c r="T42" s="40">
        <v>3708.0</v>
      </c>
      <c r="U42" s="40">
        <v>3708.0</v>
      </c>
      <c r="V42" s="40">
        <v>3661.72</v>
      </c>
      <c r="W42" s="40">
        <v>3059.01</v>
      </c>
      <c r="X42" s="40">
        <v>3042.33</v>
      </c>
      <c r="Y42" s="40">
        <v>5916.61</v>
      </c>
      <c r="Z42" s="40">
        <f>B42+C42+D42+E42+F42+G42+H42+I42+J42+K42+L42+M42+N42+O42+P42+Q42+R42+S42+T42+U42+V42+W42+X42+Y42</f>
        <v>83990.08</v>
      </c>
    </row>
    <row r="43" spans="1:26" ht="16" outlineLevel="2">
      <c r="A43" s="34" t="s">
        <v>39</v>
      </c>
      <c r="B43" s="40">
        <v>160.0</v>
      </c>
      <c r="C43" s="40">
        <v>355.0</v>
      </c>
      <c r="D43" s="40">
        <v>171.3</v>
      </c>
      <c r="E43" s="40">
        <v>213.0</v>
      </c>
      <c r="F43" s="40">
        <v>213.0</v>
      </c>
      <c r="G43" s="40">
        <v>213.0</v>
      </c>
      <c r="H43" s="40">
        <v>201.0</v>
      </c>
      <c r="I43" s="40">
        <v>201.0</v>
      </c>
      <c r="J43" s="40">
        <v>213.0</v>
      </c>
      <c r="K43" s="40">
        <v>201.0</v>
      </c>
      <c r="L43" s="40">
        <v>201.0</v>
      </c>
      <c r="M43" s="40">
        <v>213.0</v>
      </c>
      <c r="N43" s="40">
        <v>201.0</v>
      </c>
      <c r="O43" s="40">
        <v>418.5</v>
      </c>
      <c r="P43" s="40">
        <v>198.5</v>
      </c>
      <c r="Q43" s="40">
        <v>198.5</v>
      </c>
      <c r="R43" s="40">
        <v>198.5</v>
      </c>
      <c r="S43" s="40">
        <v>198.5</v>
      </c>
      <c r="T43" s="40">
        <v>210.5</v>
      </c>
      <c r="U43" s="40">
        <v>210.5</v>
      </c>
      <c r="V43" s="40">
        <v>215.5</v>
      </c>
      <c r="W43" s="40">
        <v>215.5</v>
      </c>
      <c r="X43" s="40">
        <v>215.5</v>
      </c>
      <c r="Y43" s="40">
        <v>227.5</v>
      </c>
      <c r="Z43" s="40">
        <f>B43+C43+D43+E43+F43+G43+H43+I43+J43+K43+L43+M43+N43+O43+P43+Q43+R43+S43+T43+U43+V43+W43+X43+Y43</f>
        <v>5263.8</v>
      </c>
    </row>
    <row r="44" spans="1:26" ht="16" outlineLevel="2">
      <c r="A44" s="34" t="s">
        <v>40</v>
      </c>
      <c r="B44" s="40">
        <v>9856.83</v>
      </c>
      <c r="C44" s="40">
        <v>8133.54</v>
      </c>
      <c r="D44" s="40">
        <v>7391.08</v>
      </c>
      <c r="E44" s="40">
        <v>7491.0</v>
      </c>
      <c r="F44" s="40">
        <v>7043.02</v>
      </c>
      <c r="G44" s="40">
        <v>6203.72</v>
      </c>
      <c r="H44" s="40">
        <v>6247.14</v>
      </c>
      <c r="I44" s="40">
        <v>6178.35</v>
      </c>
      <c r="J44" s="40">
        <v>6009.79</v>
      </c>
      <c r="K44" s="40">
        <v>6132.92</v>
      </c>
      <c r="L44" s="40">
        <v>6252.49</v>
      </c>
      <c r="M44" s="40">
        <v>10304.8</v>
      </c>
      <c r="N44" s="40">
        <v>9824.1</v>
      </c>
      <c r="O44" s="40">
        <v>7460.65</v>
      </c>
      <c r="P44" s="40">
        <v>6616.3</v>
      </c>
      <c r="Q44" s="40">
        <v>6940.53</v>
      </c>
      <c r="R44" s="40">
        <v>6400.12</v>
      </c>
      <c r="S44" s="40">
        <v>7002.86</v>
      </c>
      <c r="T44" s="40">
        <v>7055.45</v>
      </c>
      <c r="U44" s="40">
        <v>6883.39</v>
      </c>
      <c r="V44" s="40">
        <v>6865.72</v>
      </c>
      <c r="W44" s="40">
        <v>7049.41</v>
      </c>
      <c r="X44" s="40">
        <v>7326.19</v>
      </c>
      <c r="Y44" s="40">
        <v>13858.76</v>
      </c>
      <c r="Z44" s="40">
        <f>B44+C44+D44+E44+F44+G44+H44+I44+J44+K44+L44+M44+N44+O44+P44+Q44+R44+S44+T44+U44+V44+W44+X44+Y44</f>
        <v>180528.16000000003</v>
      </c>
    </row>
    <row r="45" spans="1:26" ht="16" outlineLevel="2">
      <c r="A45" s="34" t="s">
        <v>41</v>
      </c>
      <c r="B45" s="40">
        <v>68972.64</v>
      </c>
      <c r="C45" s="40">
        <v>68225.28</v>
      </c>
      <c r="D45" s="40">
        <v>61845.98</v>
      </c>
      <c r="E45" s="40">
        <v>61845.98</v>
      </c>
      <c r="F45" s="40">
        <v>61897.9</v>
      </c>
      <c r="G45" s="40">
        <v>54580.82</v>
      </c>
      <c r="H45" s="40">
        <v>54580.82</v>
      </c>
      <c r="I45" s="40">
        <v>56119.28</v>
      </c>
      <c r="J45" s="40">
        <v>54580.82</v>
      </c>
      <c r="K45" s="40">
        <v>54580.82</v>
      </c>
      <c r="L45" s="40">
        <v>57196.2</v>
      </c>
      <c r="M45" s="40">
        <v>110452.82</v>
      </c>
      <c r="N45" s="40">
        <v>51500.02</v>
      </c>
      <c r="O45" s="40">
        <v>55416.66</v>
      </c>
      <c r="P45" s="40">
        <v>55416.66</v>
      </c>
      <c r="Q45" s="40">
        <v>55416.66</v>
      </c>
      <c r="R45" s="40">
        <v>55416.66</v>
      </c>
      <c r="S45" s="40">
        <v>62227.56</v>
      </c>
      <c r="T45" s="40">
        <v>62500.0</v>
      </c>
      <c r="U45" s="40">
        <v>62500.0</v>
      </c>
      <c r="V45" s="40">
        <v>62500.0</v>
      </c>
      <c r="W45" s="40">
        <v>62750.0</v>
      </c>
      <c r="X45" s="40">
        <v>66500.0</v>
      </c>
      <c r="Y45" s="40">
        <v>149428.17</v>
      </c>
      <c r="Z45" s="40">
        <f>B45+C45+D45+E45+F45+G45+H45+I45+J45+K45+L45+M45+N45+O45+P45+Q45+R45+S45+T45+U45+V45+W45+X45+Y45</f>
        <v>1566451.75</v>
      </c>
    </row>
    <row r="46" spans="1:26" ht="16" outlineLevel="2">
      <c r="A46" s="34" t="s">
        <v>42</v>
      </c>
      <c r="B46" s="40">
        <v>129.0</v>
      </c>
      <c r="C46" s="40">
        <v>129.0</v>
      </c>
      <c r="D46" s="40">
        <v>129.0</v>
      </c>
      <c r="E46" s="40">
        <v>121.0</v>
      </c>
      <c r="F46" s="40">
        <v>161.0</v>
      </c>
      <c r="G46" s="40">
        <v>161.0</v>
      </c>
      <c r="H46" s="40">
        <v>153.0</v>
      </c>
      <c r="I46" s="40">
        <v>153.0</v>
      </c>
      <c r="J46" s="40">
        <v>153.0</v>
      </c>
      <c r="K46" s="40">
        <v>153.0</v>
      </c>
      <c r="L46" s="40">
        <v>153.0</v>
      </c>
      <c r="M46" s="40">
        <v>153.0</v>
      </c>
      <c r="N46" s="40">
        <v>153.0</v>
      </c>
      <c r="O46" s="40">
        <v>153.0</v>
      </c>
      <c r="P46" s="40">
        <v>153.0</v>
      </c>
      <c r="Q46" s="40">
        <v>153.0</v>
      </c>
      <c r="R46" s="40">
        <v>153.0</v>
      </c>
      <c r="S46" s="40">
        <v>153.0</v>
      </c>
      <c r="T46" s="40">
        <v>161.0</v>
      </c>
      <c r="U46" s="40">
        <v>161.0</v>
      </c>
      <c r="V46" s="40">
        <v>161.0</v>
      </c>
      <c r="W46" s="40">
        <v>161.0</v>
      </c>
      <c r="X46" s="40">
        <v>161.0</v>
      </c>
      <c r="Y46" s="40">
        <v>161.0</v>
      </c>
      <c r="Z46" s="40">
        <f>B46+C46+D46+E46+F46+G46+H46+I46+J46+K46+L46+M46+N46+O46+P46+Q46+R46+S46+T46+U46+V46+W46+X46+Y46</f>
        <v>3632.0</v>
      </c>
    </row>
    <row r="47" spans="1:26" ht="16" outlineLevel="2">
      <c r="A47" s="34" t="s">
        <v>43</v>
      </c>
      <c r="B47" s="40">
        <v>32007.6</v>
      </c>
      <c r="C47" s="40">
        <v>32007.06</v>
      </c>
      <c r="D47" s="40">
        <v>32007.6</v>
      </c>
      <c r="E47" s="40">
        <v>32007.32</v>
      </c>
      <c r="F47" s="40">
        <v>32007.6</v>
      </c>
      <c r="G47" s="40">
        <v>32007.32</v>
      </c>
      <c r="H47" s="40">
        <v>32007.6</v>
      </c>
      <c r="I47" s="40">
        <v>32007.6</v>
      </c>
      <c r="J47" s="40">
        <v>32007.32</v>
      </c>
      <c r="K47" s="40">
        <v>32007.6</v>
      </c>
      <c r="L47" s="40">
        <v>32007.32</v>
      </c>
      <c r="M47" s="40">
        <v>32007.6</v>
      </c>
      <c r="N47" s="40">
        <v>26666.68</v>
      </c>
      <c r="O47" s="40">
        <v>26666.68</v>
      </c>
      <c r="P47" s="40">
        <v>26666.68</v>
      </c>
      <c r="Q47" s="40">
        <v>26666.68</v>
      </c>
      <c r="R47" s="40">
        <v>26666.68</v>
      </c>
      <c r="S47" s="40">
        <v>26666.68</v>
      </c>
      <c r="T47" s="40">
        <v>26666.68</v>
      </c>
      <c r="U47" s="40">
        <v>26666.68</v>
      </c>
      <c r="V47" s="40">
        <v>26666.68</v>
      </c>
      <c r="W47" s="40">
        <v>26666.68</v>
      </c>
      <c r="X47" s="40">
        <v>26666.68</v>
      </c>
      <c r="Y47" s="40">
        <v>26666.68</v>
      </c>
      <c r="Z47" s="40">
        <f>B47+C47+D47+E47+F47+G47+H47+I47+J47+K47+L47+M47+N47+O47+P47+Q47+R47+S47+T47+U47+V47+W47+X47+Y47</f>
        <v>704089.7000000003</v>
      </c>
    </row>
    <row r="48" spans="1:26" ht="16" outlineLevel="1">
      <c r="A48" s="35" t="s">
        <v>44</v>
      </c>
      <c r="B48" s="41">
        <f>B40+B41+B42+B43+B44+B45+B46+B47</f>
        <v>114928.04999999999</v>
      </c>
      <c r="C48" s="41">
        <f>C40+C41+C42+C43+C44+C45+C46+C47</f>
        <v>112640.38</v>
      </c>
      <c r="D48" s="41">
        <f>D40+D41+D42+D43+D44+D45+D46+D47</f>
        <v>105071.94</v>
      </c>
      <c r="E48" s="41">
        <f>E40+E41+E42+E43+E44+E45+E46+E47</f>
        <v>105205.28</v>
      </c>
      <c r="F48" s="41">
        <f>F40+F41+F42+F43+F44+F45+F46+F47</f>
        <v>104851.57999999999</v>
      </c>
      <c r="G48" s="41">
        <f>G40+G41+G42+G43+G44+G45+G46+G47</f>
        <v>96422.84</v>
      </c>
      <c r="H48" s="41">
        <f>H40+H41+H42+H43+H44+H45+H46+H47</f>
        <v>96446.54000000001</v>
      </c>
      <c r="I48" s="41">
        <f>I40+I41+I42+I43+I44+I45+I46+I47</f>
        <v>97916.20999999999</v>
      </c>
      <c r="J48" s="41">
        <f>J40+J41+J42+J43+J44+J45+J46+J47</f>
        <v>95895.67</v>
      </c>
      <c r="K48" s="41">
        <f>K40+K41+K42+K43+K44+K45+K46+K47</f>
        <v>95681.84</v>
      </c>
      <c r="L48" s="41">
        <f>L40+L41+L42+L43+L44+L45+L46+L47</f>
        <v>98416.51000000001</v>
      </c>
      <c r="M48" s="41">
        <f>M40+M41+M42+M43+M44+M45+M46+M47</f>
        <v>157270.77000000002</v>
      </c>
      <c r="N48" s="41">
        <f>N40+N41+N42+N43+N44+N45+N46+N47</f>
        <v>100407.35999999999</v>
      </c>
      <c r="O48" s="41">
        <f>O40+O41+O42+O43+O44+O45+O46+O47</f>
        <v>102333.75</v>
      </c>
      <c r="P48" s="41">
        <f>P40+P41+P42+P43+P44+P45+P46+P47</f>
        <v>101270.34</v>
      </c>
      <c r="Q48" s="41">
        <f>Q40+Q41+Q42+Q43+Q44+Q45+Q46+Q47</f>
        <v>101594.19</v>
      </c>
      <c r="R48" s="41">
        <f>R40+R41+R42+R43+R44+R45+R46+R47</f>
        <v>101054.16</v>
      </c>
      <c r="S48" s="41">
        <f>S40+S41+S42+S43+S44+S45+S46+S47</f>
        <v>108739.85999999999</v>
      </c>
      <c r="T48" s="41">
        <f>T40+T41+T42+T43+T44+T45+T46+T47</f>
        <v>109096.17000000001</v>
      </c>
      <c r="U48" s="41">
        <f>U40+U41+U42+U43+U44+U45+U46+U47</f>
        <v>109543.93</v>
      </c>
      <c r="V48" s="41">
        <f>V40+V41+V42+V43+V44+V45+V46+V47</f>
        <v>109484.62</v>
      </c>
      <c r="W48" s="41">
        <f>W40+W41+W42+W43+W44+W45+W46+W47</f>
        <v>109315.95999999999</v>
      </c>
      <c r="X48" s="41">
        <f>X40+X41+X42+X43+X44+X45+X46+X47</f>
        <v>113325.70000000001</v>
      </c>
      <c r="Y48" s="41">
        <f>Y40+Y41+Y42+Y43+Y44+Y45+Y46+Y47</f>
        <v>205673.08000000002</v>
      </c>
      <c r="Z48" s="42">
        <f>B48+C48+D48+E48+F48+G48+H48+I48+J48+K48+L48+M48+N48+O48+P48+Q48+R48+S48+T48+U48+V48+W48+X48+Y48</f>
        <v>2652586.73</v>
      </c>
    </row>
    <row r="49" spans="1:26" ht="16" outlineLevel="1">
      <c r="A49" s="32" t="s">
        <v>45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40">
        <v>896.0</v>
      </c>
      <c r="M49" s="40">
        <v>4040.0</v>
      </c>
      <c r="N49" s="40">
        <v>1200.0</v>
      </c>
      <c r="O49" s="40">
        <v>1800.0</v>
      </c>
      <c r="P49" s="40">
        <v>4050.0</v>
      </c>
      <c r="Q49" s="40">
        <v>4860.0</v>
      </c>
      <c r="R49" s="40">
        <v>12400.0</v>
      </c>
      <c r="S49" s="40">
        <v>12400.0</v>
      </c>
      <c r="T49" s="40">
        <v>23239.07</v>
      </c>
      <c r="U49" s="40">
        <v>25598.55</v>
      </c>
      <c r="V49" s="40">
        <v>8200.0</v>
      </c>
      <c r="W49" s="40">
        <v>38389.6</v>
      </c>
      <c r="X49" s="40">
        <v>14750.0</v>
      </c>
      <c r="Y49" s="40">
        <v>54673.43</v>
      </c>
      <c r="Z49" s="40">
        <f>B49+C49+D49+E49+F49+G49+H49+I49+J49+K49+L49+M49+N49+O49+P49+Q49+R49+S49+T49+U49+V49+W49+X49+Y49</f>
        <v>206496.65</v>
      </c>
    </row>
    <row r="50" spans="1:26" ht="16" outlineLevel="1">
      <c r="A50" s="32" t="s">
        <v>46</v>
      </c>
      <c r="B50" s="40">
        <v>4074.38</v>
      </c>
      <c r="C50" s="40">
        <v>2678.74</v>
      </c>
      <c r="D50" s="40">
        <v>59047.57</v>
      </c>
      <c r="E50" s="40">
        <v>599.31</v>
      </c>
      <c r="F50" s="40">
        <v>1627.34</v>
      </c>
      <c r="G50" s="40">
        <v>1535.71</v>
      </c>
      <c r="H50" s="40">
        <v>631.52</v>
      </c>
      <c r="I50" s="40">
        <v>155.93</v>
      </c>
      <c r="J50" s="40">
        <v>437.79</v>
      </c>
      <c r="K50" s="40">
        <v>7130.81</v>
      </c>
      <c r="L50" s="40">
        <v>179.2</v>
      </c>
      <c r="M50" s="40">
        <v>33792.47</v>
      </c>
      <c r="N50" s="40">
        <v>751.69</v>
      </c>
      <c r="O50" s="40">
        <v>2143.67</v>
      </c>
      <c r="P50" s="40">
        <v>15304.9</v>
      </c>
      <c r="Q50" s="40">
        <v>4291.06</v>
      </c>
      <c r="R50" s="40">
        <v>-2555.91</v>
      </c>
      <c r="S50" s="40">
        <v>584.9</v>
      </c>
      <c r="T50" s="40">
        <v>15982.4</v>
      </c>
      <c r="U50" s="40">
        <v>13720.04</v>
      </c>
      <c r="V50" s="40">
        <v>10436.65</v>
      </c>
      <c r="W50" s="40">
        <v>140.19</v>
      </c>
      <c r="X50" s="40">
        <v>1901.68</v>
      </c>
      <c r="Y50" s="40">
        <v>15256.85</v>
      </c>
      <c r="Z50" s="40">
        <f>B50+C50+D50+E50+F50+G50+H50+I50+J50+K50+L50+M50+N50+O50+P50+Q50+R50+S50+T50+U50+V50+W50+X50+Y50</f>
        <v>189848.88999999998</v>
      </c>
    </row>
    <row r="51" spans="1:26" ht="16" outlineLevel="1">
      <c r="A51" s="32" t="s">
        <v>47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40">
        <v>9.04</v>
      </c>
      <c r="U51" s="39"/>
      <c r="V51" s="40">
        <v>56.22</v>
      </c>
      <c r="W51" s="39"/>
      <c r="X51" s="39"/>
      <c r="Y51" s="40">
        <v>49.0</v>
      </c>
      <c r="Z51" s="40">
        <f>B51+C51+D51+E51+F51+G51+H51+I51+J51+K51+L51+M51+N51+O51+P51+Q51+R51+S51+T51+U51+V51+W51+X51+Y51</f>
        <v>114.25999999999999</v>
      </c>
    </row>
    <row r="52" spans="1:26" ht="16" outlineLevel="1">
      <c r="A52" s="32" t="s">
        <v>48</v>
      </c>
      <c r="B52" s="40">
        <v>71.49</v>
      </c>
      <c r="C52" s="40">
        <v>72.98</v>
      </c>
      <c r="D52" s="40">
        <v>72.98</v>
      </c>
      <c r="E52" s="40">
        <v>72.98</v>
      </c>
      <c r="F52" s="40">
        <v>78.0</v>
      </c>
      <c r="G52" s="40">
        <v>86.66</v>
      </c>
      <c r="H52" s="40">
        <v>109.28</v>
      </c>
      <c r="I52" s="40">
        <v>138.54</v>
      </c>
      <c r="J52" s="40">
        <v>70.0</v>
      </c>
      <c r="K52" s="40">
        <v>70.0</v>
      </c>
      <c r="L52" s="40">
        <v>35.0</v>
      </c>
      <c r="M52" s="40">
        <v>145.44</v>
      </c>
      <c r="N52" s="39"/>
      <c r="O52" s="39"/>
      <c r="P52" s="40">
        <v>65.0</v>
      </c>
      <c r="Q52" s="40">
        <v>35.0</v>
      </c>
      <c r="R52" s="40">
        <v>35.0</v>
      </c>
      <c r="S52" s="40">
        <v>35.0</v>
      </c>
      <c r="T52" s="40">
        <v>35.0</v>
      </c>
      <c r="U52" s="40">
        <v>35.0</v>
      </c>
      <c r="V52" s="40">
        <v>39.5</v>
      </c>
      <c r="W52" s="40">
        <v>9.5</v>
      </c>
      <c r="X52" s="40">
        <v>9.5</v>
      </c>
      <c r="Y52" s="40">
        <v>40.0</v>
      </c>
      <c r="Z52" s="40">
        <f>B52+C52+D52+E52+F52+G52+H52+I52+J52+K52+L52+M52+N52+O52+P52+Q52+R52+S52+T52+U52+V52+W52+X52+Y52</f>
        <v>1361.85</v>
      </c>
    </row>
    <row r="53" spans="1:26" ht="16" outlineLevel="1">
      <c r="A53" s="32" t="s">
        <v>49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40">
        <v>26.64</v>
      </c>
      <c r="Q53" s="39"/>
      <c r="R53" s="39"/>
      <c r="S53" s="40">
        <v>13.95</v>
      </c>
      <c r="T53" s="39"/>
      <c r="U53" s="39"/>
      <c r="V53" s="40">
        <v>291.41</v>
      </c>
      <c r="W53" s="39"/>
      <c r="X53" s="39"/>
      <c r="Y53" s="39"/>
      <c r="Z53" s="40">
        <f>B53+C53+D53+E53+F53+G53+H53+I53+J53+K53+L53+M53+N53+O53+P53+Q53+R53+S53+T53+U53+V53+W53+X53+Y53</f>
        <v>332.0</v>
      </c>
    </row>
    <row r="54" spans="1:26" ht="16">
      <c r="A54" s="33" t="s">
        <v>50</v>
      </c>
      <c r="B54" s="41">
        <f>B22+B23+B24+B28+B29+B30+B31+B32+B33+B34+B35+B36+B37+B38+B39+B48+B49+B50+B51+B52+B53</f>
        <v>135840.11</v>
      </c>
      <c r="C54" s="41">
        <f>C22+C23+C24+C28+C29+C30+C31+C32+C33+C34+C35+C36+C37+C38+C39+C48+C49+C50+C51+C52+C53</f>
        <v>183909.33</v>
      </c>
      <c r="D54" s="41">
        <f>D22+D23+D24+D28+D29+D30+D31+D32+D33+D34+D35+D36+D37+D38+D39+D48+D49+D50+D51+D52+D53</f>
        <v>336985.72000000003</v>
      </c>
      <c r="E54" s="41">
        <f>E22+E23+E24+E28+E29+E30+E31+E32+E33+E34+E35+E36+E37+E38+E39+E48+E49+E50+E51+E52+E53</f>
        <v>171272.19000000003</v>
      </c>
      <c r="F54" s="41">
        <f>F22+F23+F24+F28+F29+F30+F31+F32+F33+F34+F35+F36+F37+F38+F39+F48+F49+F50+F51+F52+F53</f>
        <v>179156.91</v>
      </c>
      <c r="G54" s="41">
        <f>G22+G23+G24+G28+G29+G30+G31+G32+G33+G34+G35+G36+G37+G38+G39+G48+G49+G50+G51+G52+G53</f>
        <v>181641.78</v>
      </c>
      <c r="H54" s="41">
        <f>H22+H23+H24+H28+H29+H30+H31+H32+H33+H34+H35+H36+H37+H38+H39+H48+H49+H50+H51+H52+H53</f>
        <v>173741.49</v>
      </c>
      <c r="I54" s="41">
        <f>I22+I23+I24+I28+I29+I30+I31+I32+I33+I34+I35+I36+I37+I38+I39+I48+I49+I50+I51+I52+I53</f>
        <v>161930.71</v>
      </c>
      <c r="J54" s="41">
        <f>J22+J23+J24+J28+J29+J30+J31+J32+J33+J34+J35+J36+J37+J38+J39+J48+J49+J50+J51+J52+J53</f>
        <v>219070.67</v>
      </c>
      <c r="K54" s="41">
        <f>K22+K23+K24+K28+K29+K30+K31+K32+K33+K34+K35+K36+K37+K38+K39+K48+K49+K50+K51+K52+K53</f>
        <v>143885.26</v>
      </c>
      <c r="L54" s="41">
        <f>L22+L23+L24+L28+L29+L30+L31+L32+L33+L34+L35+L36+L37+L38+L39+L48+L49+L50+L51+L52+L53</f>
        <v>206914.81</v>
      </c>
      <c r="M54" s="41">
        <f>M22+M23+M24+M28+M29+M30+M31+M32+M33+M34+M35+M36+M37+M38+M39+M48+M49+M50+M51+M52+M53</f>
        <v>473645.76000000007</v>
      </c>
      <c r="N54" s="41">
        <f>N22+N23+N24+N28+N29+N30+N31+N32+N33+N34+N35+N36+N37+N38+N39+N48+N49+N50+N51+N52+N53</f>
        <v>168170.56</v>
      </c>
      <c r="O54" s="41">
        <f>O22+O23+O24+O28+O29+O30+O31+O32+O33+O34+O35+O36+O37+O38+O39+O48+O49+O50+O51+O52+O53</f>
        <v>147107.90000000002</v>
      </c>
      <c r="P54" s="41">
        <f>P22+P23+P24+P28+P29+P30+P31+P32+P33+P34+P35+P36+P37+P38+P39+P48+P49+P50+P51+P52+P53</f>
        <v>213202.92</v>
      </c>
      <c r="Q54" s="41">
        <f>Q22+Q23+Q24+Q28+Q29+Q30+Q31+Q32+Q33+Q34+Q35+Q36+Q37+Q38+Q39+Q48+Q49+Q50+Q51+Q52+Q53</f>
        <v>201247.53999999998</v>
      </c>
      <c r="R54" s="41">
        <f>R22+R23+R24+R28+R29+R30+R31+R32+R33+R34+R35+R36+R37+R38+R39+R48+R49+R50+R51+R52+R53</f>
        <v>195253.51</v>
      </c>
      <c r="S54" s="41">
        <f>S22+S23+S24+S28+S29+S30+S31+S32+S33+S34+S35+S36+S37+S38+S39+S48+S49+S50+S51+S52+S53</f>
        <v>212850.84</v>
      </c>
      <c r="T54" s="41">
        <f>T22+T23+T24+T28+T29+T30+T31+T32+T33+T34+T35+T36+T37+T38+T39+T48+T49+T50+T51+T52+T53</f>
        <v>239309.74</v>
      </c>
      <c r="U54" s="41">
        <f>U22+U23+U24+U28+U29+U30+U31+U32+U33+U34+U35+U36+U37+U38+U39+U48+U49+U50+U51+U52+U53</f>
        <v>242182.52</v>
      </c>
      <c r="V54" s="41">
        <f>V22+V23+V24+V28+V29+V30+V31+V32+V33+V34+V35+V36+V37+V38+V39+V48+V49+V50+V51+V52+V53</f>
        <v>242199.87999999998</v>
      </c>
      <c r="W54" s="41">
        <f>W22+W23+W24+W28+W29+W30+W31+W32+W33+W34+W35+W36+W37+W38+W39+W48+W49+W50+W51+W52+W53</f>
        <v>381104.42</v>
      </c>
      <c r="X54" s="41">
        <f>X22+X23+X24+X28+X29+X30+X31+X32+X33+X34+X35+X36+X37+X38+X39+X48+X49+X50+X51+X52+X53</f>
        <v>272919.71</v>
      </c>
      <c r="Y54" s="41">
        <f>Y22+Y23+Y24+Y28+Y29+Y30+Y31+Y32+Y33+Y34+Y35+Y36+Y37+Y38+Y39+Y48+Y49+Y50+Y51+Y52+Y53</f>
        <v>791082.8300000001</v>
      </c>
      <c r="Z54" s="42">
        <f>B54+C54+D54+E54+F54+G54+H54+I54+J54+K54+L54+M54+N54+O54+P54+Q54+R54+S54+T54+U54+V54+W54+X54+Y54</f>
        <v>5874627.11</v>
      </c>
    </row>
    <row r="55" spans="1:26" ht="16">
      <c r="A55" s="33" t="s">
        <v>51</v>
      </c>
      <c r="B55" s="41">
        <f>B20-B54</f>
        <v>450267.85</v>
      </c>
      <c r="C55" s="41">
        <f>C20-C54</f>
        <v>218530.26000000004</v>
      </c>
      <c r="D55" s="41">
        <f>D20-D54</f>
        <v>-98910.37</v>
      </c>
      <c r="E55" s="41">
        <f>E20-E54</f>
        <v>119011.04999999996</v>
      </c>
      <c r="F55" s="41">
        <f>F20-F54</f>
        <v>1262145.61</v>
      </c>
      <c r="G55" s="41">
        <f>G20-G54</f>
        <v>305043.49</v>
      </c>
      <c r="H55" s="41">
        <f>H20-H54</f>
        <v>-5263.140000000014</v>
      </c>
      <c r="I55" s="41">
        <f>I20-I54</f>
        <v>92938.23999999999</v>
      </c>
      <c r="J55" s="41">
        <f>J20-J54</f>
        <v>24829.390000000014</v>
      </c>
      <c r="K55" s="41">
        <f>K20-K54</f>
        <v>128217.91999999998</v>
      </c>
      <c r="L55" s="41">
        <f>L20-L54</f>
        <v>65968.75</v>
      </c>
      <c r="M55" s="41">
        <f>M20-M54</f>
        <v>-366492.5800000001</v>
      </c>
      <c r="N55" s="41">
        <f>N20-N54</f>
        <v>128658.80000000005</v>
      </c>
      <c r="O55" s="41">
        <f>O20-O54</f>
        <v>821276.99</v>
      </c>
      <c r="P55" s="41">
        <f>P20-P54</f>
        <v>252072.59</v>
      </c>
      <c r="Q55" s="41">
        <f>Q20-Q54</f>
        <v>24068.890000000014</v>
      </c>
      <c r="R55" s="41">
        <f>R20-R54</f>
        <v>572742.06</v>
      </c>
      <c r="S55" s="41">
        <f>S20-S54</f>
        <v>1263116.92</v>
      </c>
      <c r="T55" s="41">
        <f>T20-T54</f>
        <v>-315211.9</v>
      </c>
      <c r="U55" s="41">
        <f>U20-U54</f>
        <v>436643.81999999995</v>
      </c>
      <c r="V55" s="41">
        <f>V20-V54</f>
        <v>894575.1</v>
      </c>
      <c r="W55" s="41">
        <f>W20-W54</f>
        <v>849515.2400000002</v>
      </c>
      <c r="X55" s="41">
        <f>X20-X54</f>
        <v>-76117.62000000002</v>
      </c>
      <c r="Y55" s="41">
        <f>Y20-Y54</f>
        <v>663485.1100000001</v>
      </c>
      <c r="Z55" s="42">
        <f>B55+C55+D55+E55+F55+G55+H55+I55+J55+K55+L55+M55+N55+O55+P55+Q55+R55+S55+T55+U55+V55+W55+X55+Y55</f>
        <v>7711112.47</v>
      </c>
    </row>
    <row r="56" spans="1:25" ht="16">
      <c r="A56" s="31" t="s">
        <v>52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6" ht="16" outlineLevel="1">
      <c r="A57" s="32" t="s">
        <v>53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40">
        <v>750.0</v>
      </c>
      <c r="M57" s="39"/>
      <c r="N57" s="39"/>
      <c r="O57" s="39"/>
      <c r="P57" s="39"/>
      <c r="Q57" s="39"/>
      <c r="R57" s="39"/>
      <c r="S57" s="39"/>
      <c r="T57" s="40">
        <v>300.0</v>
      </c>
      <c r="U57" s="39"/>
      <c r="V57" s="39"/>
      <c r="W57" s="39"/>
      <c r="X57" s="40">
        <v>250.0</v>
      </c>
      <c r="Y57" s="39"/>
      <c r="Z57" s="40">
        <f>B57+C57+D57+E57+F57+G57+H57+I57+J57+K57+L57+M57+N57+O57+P57+Q57+R57+S57+T57+U57+V57+W57+X57+Y57</f>
        <v>1300.0</v>
      </c>
    </row>
    <row r="58" spans="1:26" ht="16">
      <c r="A58" s="33" t="s">
        <v>54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>
        <f>L57</f>
        <v>750.0</v>
      </c>
      <c r="M58" s="41"/>
      <c r="N58" s="41"/>
      <c r="O58" s="41"/>
      <c r="P58" s="41"/>
      <c r="Q58" s="41"/>
      <c r="R58" s="41"/>
      <c r="S58" s="41"/>
      <c r="T58" s="41">
        <f>T57</f>
        <v>300.0</v>
      </c>
      <c r="U58" s="41"/>
      <c r="V58" s="41"/>
      <c r="W58" s="41"/>
      <c r="X58" s="41">
        <f>X57</f>
        <v>250.0</v>
      </c>
      <c r="Y58" s="41"/>
      <c r="Z58" s="42">
        <f>B58+C58+D58+E58+F58+G58+H58+I58+J58+K58+L58+M58+N58+O58+P58+Q58+R58+S58+T58+U58+V58+W58+X58+Y58</f>
        <v>1300.0</v>
      </c>
    </row>
    <row r="59" spans="1:25" ht="16">
      <c r="A59" s="31" t="s">
        <v>55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6" ht="16" outlineLevel="1">
      <c r="A60" s="32" t="s">
        <v>56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40">
        <v>1532.0</v>
      </c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0">
        <f>B60+C60+D60+E60+F60+G60+H60+I60+J60+K60+L60+M60+N60+O60+P60+Q60+R60+S60+T60+U60+V60+W60+X60+Y60</f>
        <v>1532.0</v>
      </c>
    </row>
    <row r="61" spans="1:26" ht="16" outlineLevel="1">
      <c r="A61" s="32" t="s">
        <v>57</v>
      </c>
      <c r="B61" s="40">
        <v>-6202.63</v>
      </c>
      <c r="C61" s="40">
        <v>535.26</v>
      </c>
      <c r="D61" s="39"/>
      <c r="E61" s="40">
        <v>800.0</v>
      </c>
      <c r="F61" s="39"/>
      <c r="G61" s="40">
        <v>105957.0</v>
      </c>
      <c r="H61" s="39"/>
      <c r="I61" s="40">
        <v>120.0</v>
      </c>
      <c r="J61" s="40">
        <v>35375.0</v>
      </c>
      <c r="K61" s="40">
        <v>351.73</v>
      </c>
      <c r="L61" s="39"/>
      <c r="M61" s="40">
        <v>20147.0</v>
      </c>
      <c r="N61" s="40">
        <v>333.0</v>
      </c>
      <c r="O61" s="40">
        <v>6500.32</v>
      </c>
      <c r="P61" s="40">
        <v>110.56</v>
      </c>
      <c r="Q61" s="40">
        <v>82024.56</v>
      </c>
      <c r="R61" s="39"/>
      <c r="S61" s="40">
        <v>-86448.78</v>
      </c>
      <c r="T61" s="39"/>
      <c r="U61" s="39"/>
      <c r="V61" s="40">
        <v>375.0</v>
      </c>
      <c r="W61" s="39"/>
      <c r="X61" s="39"/>
      <c r="Y61" s="40">
        <v>147.0</v>
      </c>
      <c r="Z61" s="40">
        <f>B61+C61+D61+E61+F61+G61+H61+I61+J61+K61+L61+M61+N61+O61+P61+Q61+R61+S61+T61+U61+V61+W61+X61+Y61</f>
        <v>160125.02000000002</v>
      </c>
    </row>
    <row r="62" spans="1:26" ht="16">
      <c r="A62" s="33" t="s">
        <v>58</v>
      </c>
      <c r="B62" s="41">
        <f>B60+B61</f>
        <v>-6202.63</v>
      </c>
      <c r="C62" s="41">
        <f>C60+C61</f>
        <v>535.26</v>
      </c>
      <c r="D62" s="41"/>
      <c r="E62" s="41">
        <f>E60+E61</f>
        <v>800.0</v>
      </c>
      <c r="F62" s="41"/>
      <c r="G62" s="41">
        <f>G60+G61</f>
        <v>105957.0</v>
      </c>
      <c r="H62" s="41"/>
      <c r="I62" s="41">
        <f>I60+I61</f>
        <v>120.0</v>
      </c>
      <c r="J62" s="41">
        <f>J60+J61</f>
        <v>35375.0</v>
      </c>
      <c r="K62" s="41">
        <f>K60+K61</f>
        <v>351.73</v>
      </c>
      <c r="L62" s="41"/>
      <c r="M62" s="41">
        <f>M60+M61</f>
        <v>21679.0</v>
      </c>
      <c r="N62" s="41">
        <f>N60+N61</f>
        <v>333.0</v>
      </c>
      <c r="O62" s="41">
        <f>O60+O61</f>
        <v>6500.32</v>
      </c>
      <c r="P62" s="41">
        <f>P60+P61</f>
        <v>110.56</v>
      </c>
      <c r="Q62" s="41">
        <f>Q60+Q61</f>
        <v>82024.56</v>
      </c>
      <c r="R62" s="41"/>
      <c r="S62" s="41">
        <f>S60+S61</f>
        <v>-86448.78</v>
      </c>
      <c r="T62" s="41"/>
      <c r="U62" s="41"/>
      <c r="V62" s="41">
        <f>V60+V61</f>
        <v>375.0</v>
      </c>
      <c r="W62" s="41"/>
      <c r="X62" s="41"/>
      <c r="Y62" s="41">
        <f>Y60+Y61</f>
        <v>147.0</v>
      </c>
      <c r="Z62" s="42">
        <f>B62+C62+D62+E62+F62+G62+H62+I62+J62+K62+L62+M62+N62+O62+P62+Q62+R62+S62+T62+U62+V62+W62+X62+Y62</f>
        <v>161657.02000000002</v>
      </c>
    </row>
    <row r="63" spans="1:26" ht="16">
      <c r="A63" s="33" t="s">
        <v>59</v>
      </c>
      <c r="B63" s="41">
        <f>B58-B62</f>
        <v>6202.63</v>
      </c>
      <c r="C63" s="41">
        <f>C58-C62</f>
        <v>-535.26</v>
      </c>
      <c r="D63" s="41"/>
      <c r="E63" s="41">
        <f>E58-E62</f>
        <v>-800.0</v>
      </c>
      <c r="F63" s="41"/>
      <c r="G63" s="41">
        <f>G58-G62</f>
        <v>-105957.0</v>
      </c>
      <c r="H63" s="41"/>
      <c r="I63" s="41">
        <f>I58-I62</f>
        <v>-120.0</v>
      </c>
      <c r="J63" s="41">
        <f>J58-J62</f>
        <v>-35375.0</v>
      </c>
      <c r="K63" s="41">
        <f>K58-K62</f>
        <v>-351.73</v>
      </c>
      <c r="L63" s="41">
        <f>L58-L62</f>
        <v>750.0</v>
      </c>
      <c r="M63" s="41">
        <f>M58-M62</f>
        <v>-21679.0</v>
      </c>
      <c r="N63" s="41">
        <f>N58-N62</f>
        <v>-333.0</v>
      </c>
      <c r="O63" s="41">
        <f>O58-O62</f>
        <v>-6500.32</v>
      </c>
      <c r="P63" s="41">
        <f>P58-P62</f>
        <v>-110.56</v>
      </c>
      <c r="Q63" s="41">
        <f>Q58-Q62</f>
        <v>-82024.56</v>
      </c>
      <c r="R63" s="41"/>
      <c r="S63" s="41">
        <f>S58-S62</f>
        <v>86448.78</v>
      </c>
      <c r="T63" s="41">
        <f>T58-T62</f>
        <v>300.0</v>
      </c>
      <c r="U63" s="41"/>
      <c r="V63" s="41">
        <f>V58-V62</f>
        <v>-375.0</v>
      </c>
      <c r="W63" s="41"/>
      <c r="X63" s="41">
        <f>X58-X62</f>
        <v>250.0</v>
      </c>
      <c r="Y63" s="41">
        <f>Y58-Y62</f>
        <v>-147.0</v>
      </c>
      <c r="Z63" s="42">
        <f>B63+C63+D63+E63+F63+G63+H63+I63+J63+K63+L63+M63+N63+O63+P63+Q63+R63+S63+T63+U63+V63+W63+X63+Y63</f>
        <v>-160357.02000000002</v>
      </c>
    </row>
    <row r="64" spans="1:26" ht="16">
      <c r="A64" s="33" t="s">
        <v>60</v>
      </c>
      <c r="B64" s="41">
        <f>B55+B63</f>
        <v>456470.48</v>
      </c>
      <c r="C64" s="41">
        <f>C55+C63</f>
        <v>217995.00000000003</v>
      </c>
      <c r="D64" s="41">
        <f>D55+D63</f>
        <v>-98910.37</v>
      </c>
      <c r="E64" s="41">
        <f>E55+E63</f>
        <v>118211.04999999996</v>
      </c>
      <c r="F64" s="41">
        <f>F55+F63</f>
        <v>1262145.61</v>
      </c>
      <c r="G64" s="41">
        <f>G55+G63</f>
        <v>199086.49</v>
      </c>
      <c r="H64" s="41">
        <f>H55+H63</f>
        <v>-5263.140000000014</v>
      </c>
      <c r="I64" s="41">
        <f>I55+I63</f>
        <v>92818.23999999999</v>
      </c>
      <c r="J64" s="41">
        <f>J55+J63</f>
        <v>-10545.609999999986</v>
      </c>
      <c r="K64" s="41">
        <f>K55+K63</f>
        <v>127866.18999999999</v>
      </c>
      <c r="L64" s="41">
        <f>L55+L63</f>
        <v>66718.75</v>
      </c>
      <c r="M64" s="41">
        <f>M55+M63</f>
        <v>-388171.5800000001</v>
      </c>
      <c r="N64" s="41">
        <f>N55+N63</f>
        <v>128325.80000000005</v>
      </c>
      <c r="O64" s="41">
        <f>O55+O63</f>
        <v>814776.67</v>
      </c>
      <c r="P64" s="41">
        <f>P55+P63</f>
        <v>251962.03</v>
      </c>
      <c r="Q64" s="41">
        <f>Q55+Q63</f>
        <v>-57955.669999999984</v>
      </c>
      <c r="R64" s="41">
        <f>R55+R63</f>
        <v>572742.06</v>
      </c>
      <c r="S64" s="41">
        <f>S55+S63</f>
        <v>1349565.7</v>
      </c>
      <c r="T64" s="41">
        <f>T55+T63</f>
        <v>-314911.9</v>
      </c>
      <c r="U64" s="41">
        <f>U55+U63</f>
        <v>436643.81999999995</v>
      </c>
      <c r="V64" s="41">
        <f>V55+V63</f>
        <v>894200.1</v>
      </c>
      <c r="W64" s="41">
        <f>W55+W63</f>
        <v>849515.2400000002</v>
      </c>
      <c r="X64" s="41">
        <f>X55+X63</f>
        <v>-75867.62000000002</v>
      </c>
      <c r="Y64" s="41">
        <f>Y55+Y63</f>
        <v>663338.1100000001</v>
      </c>
      <c r="Z64" s="42">
        <f>B64+C64+D64+E64+F64+G64+H64+I64+J64+K64+L64+M64+N64+O64+P64+Q64+R64+S64+T64+U64+V64+W64+X64+Y64</f>
        <v>7550755.449999999</v>
      </c>
    </row>
    <row r="68" spans="1:1" ht="16">
      <c r="A68" s="43" t="s">
        <v>87</v>
      </c>
    </row>
  </sheetData>
  <mergeCells count="4">
    <mergeCell ref="A1:Z1"/>
    <mergeCell ref="A2:Z2"/>
    <mergeCell ref="A3:Z3"/>
    <mergeCell ref="A68:Z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