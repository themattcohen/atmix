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10="http://schemas.microsoft.com/office/spreadsheetml/2016/revision10" xmlns:xr2="http://schemas.microsoft.com/office/spreadsheetml/2015/revision2" xmlns:xr6="http://schemas.microsoft.com/office/spreadsheetml/2016/revision6" mc:Ignorable="x15 xr xr6 xr10 xr2">
  <fileVersion appName="xl" lastEdited="7" lowestEdited="7" rupBuild="103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kumar97/dev/teps/app/src/test/resources/CrbReportsPlugin/Template/"/>
    </mc:Choice>
  </mc:AlternateContent>
  <bookViews>
    <workbookView xWindow="3880" yWindow="2200" windowWidth="28040" windowHeight="17440" activeTab="0"/>
  </bookViews>
  <sheets>
    <sheet name="Sheet1" sheetId="1" r:id="rId2"/>
  </sheets>
  <definedNames/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Y70" i="1" l="1"/>
</calcChain>
</file>

<file path=xl/sharedStrings.xml><?xml version="1.0" encoding="utf-8"?>
<sst xmlns="http://schemas.openxmlformats.org/spreadsheetml/2006/main" count="94" uniqueCount="94">
  <si>
    <t>Balance Sheet</t>
  </si>
  <si>
    <t>Goji Labs, LLC</t>
  </si>
  <si>
    <t>As of December 31, 2025</t>
  </si>
  <si>
    <t>Assets</t>
  </si>
  <si>
    <t>Current Assets</t>
  </si>
  <si>
    <t>Bank Accounts</t>
  </si>
  <si>
    <t>Chase #6752</t>
  </si>
  <si>
    <t>East West #8215</t>
  </si>
  <si>
    <t>East West #8249</t>
  </si>
  <si>
    <t>Total for Bank Accounts</t>
  </si>
  <si>
    <t>Accounts Receivable</t>
  </si>
  <si>
    <t>Accounts Receivable (A/R)</t>
  </si>
  <si>
    <t>Total for Accounts Receivable</t>
  </si>
  <si>
    <t>Other Current Assets</t>
  </si>
  <si>
    <t>CD #1527</t>
  </si>
  <si>
    <t>Credit Card Receivables</t>
  </si>
  <si>
    <t>Due to/Due From David Barlev</t>
  </si>
  <si>
    <t>Undeposited Funds</t>
  </si>
  <si>
    <t>Tax Receivable</t>
  </si>
  <si>
    <t>Total for Other Current Assets</t>
  </si>
  <si>
    <t>Total for Current Assets</t>
  </si>
  <si>
    <t>Fixed Assets</t>
  </si>
  <si>
    <t>Accumulated depreciation</t>
  </si>
  <si>
    <t>Corporate Fleet</t>
  </si>
  <si>
    <t>Total for Fixed Assets</t>
  </si>
  <si>
    <t>Total for Assets</t>
  </si>
  <si>
    <t>Liabilities and Equity</t>
  </si>
  <si>
    <t>Liabilities</t>
  </si>
  <si>
    <t>Current Liabilities</t>
  </si>
  <si>
    <t>Credit Cards</t>
  </si>
  <si>
    <t>American Express #22009 (Old #21001)</t>
  </si>
  <si>
    <t>Capital One #1608</t>
  </si>
  <si>
    <t>Chase #0592</t>
  </si>
  <si>
    <t>Chase #0592 (Barlev)</t>
  </si>
  <si>
    <t>Chase #0600 (Adam)</t>
  </si>
  <si>
    <t>Total for Chase #0592</t>
  </si>
  <si>
    <t>Chase #0899 (old) (deleted)</t>
  </si>
  <si>
    <t>Chase Ink #0899 (Adam) (deleted)</t>
  </si>
  <si>
    <t>Total for Chase #0899 (old) (deleted)</t>
  </si>
  <si>
    <t>Chase #5307 (Closed) (deleted)</t>
  </si>
  <si>
    <t>Chase CC #5307 (Adam) (deleted)</t>
  </si>
  <si>
    <t>Chase CC #5307 (David) (deleted)</t>
  </si>
  <si>
    <t>Total for Chase #5307 (Closed) (deleted)</t>
  </si>
  <si>
    <t>Chase #5566 (Old #7375)</t>
  </si>
  <si>
    <t>Chase #3811 (Old #7383) (David)</t>
  </si>
  <si>
    <t>Chase #5566 (Old #7375) (Adam)</t>
  </si>
  <si>
    <t>Total for Chase #5566 (Old #7375)</t>
  </si>
  <si>
    <t>Chase #8553</t>
  </si>
  <si>
    <t>Chase #8553 (Adam)</t>
  </si>
  <si>
    <t>Chase #8561 (David)</t>
  </si>
  <si>
    <t>Chase #9820 (George)</t>
  </si>
  <si>
    <t>Total for Chase #8553</t>
  </si>
  <si>
    <t>Total for Credit Cards</t>
  </si>
  <si>
    <t>Other Current Liabilities</t>
  </si>
  <si>
    <t>HFSA Liability</t>
  </si>
  <si>
    <t>Payroll Benefit Liabilities</t>
  </si>
  <si>
    <t>Total for Other Current Liabilities</t>
  </si>
  <si>
    <t>Total for Current Liabilities</t>
  </si>
  <si>
    <t>Total for Liabilities</t>
  </si>
  <si>
    <t>Equity</t>
  </si>
  <si>
    <t>Shareholder Distributions Adam</t>
  </si>
  <si>
    <t>Shareholder Distributions David</t>
  </si>
  <si>
    <t>Additional Paid in Capital</t>
  </si>
  <si>
    <t>Capital Stock</t>
  </si>
  <si>
    <t>Retained Earnings</t>
  </si>
  <si>
    <t>Net Income</t>
  </si>
  <si>
    <t>Total for Equity</t>
  </si>
  <si>
    <t>Total for Liabilities and Equity</t>
  </si>
  <si>
    <t>Distribution account</t>
  </si>
  <si>
    <t>January 2024</t>
  </si>
  <si>
    <t>February 2024</t>
  </si>
  <si>
    <t>March 2024</t>
  </si>
  <si>
    <t>April 2024</t>
  </si>
  <si>
    <t>May 2024</t>
  </si>
  <si>
    <t>June 2024</t>
  </si>
  <si>
    <t>July 2024</t>
  </si>
  <si>
    <t>August 2024</t>
  </si>
  <si>
    <t>September 2024</t>
  </si>
  <si>
    <t>October 2024</t>
  </si>
  <si>
    <t>November 2024</t>
  </si>
  <si>
    <t>December 2024</t>
  </si>
  <si>
    <t>January 2025</t>
  </si>
  <si>
    <t>February 2025</t>
  </si>
  <si>
    <t>March 2025</t>
  </si>
  <si>
    <t>April 2025</t>
  </si>
  <si>
    <t>May 2025</t>
  </si>
  <si>
    <t>June 2025</t>
  </si>
  <si>
    <t>July 2025</t>
  </si>
  <si>
    <t>August 2025</t>
  </si>
  <si>
    <t>September 2025</t>
  </si>
  <si>
    <t>October 2025</t>
  </si>
  <si>
    <t>November 2025</t>
  </si>
  <si>
    <t>December 2025</t>
  </si>
  <si>
    <t>Accrual Basis Monday, February 02, 2026 11:42 PM GMTZ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</si>
</sst>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7" formatCode="#,##0.00"/>
  </numFmts>
  <fonts count="9">
    <font>
      <sz val="12"/>
      <color theme="1"/>
      <name val="Calibri"/>
      <family val="2"/>
      <scheme val="minor"/>
    </font>
    <font>
      <sz val="10"/>
      <color theme="1"/>
      <name val="Arial"/>
      <family val="2"/>
    </font>
    <font>
      <b/>
      <sz val="12"/>
      <color theme="1"/>
      <name val="Calibri"/>
      <family val="2"/>
      <scheme val="minor"/>
    </font>
    <font>
      <sz val="8"/>
      <color theme="1"/>
      <name val="Arial"/>
      <family val="2"/>
    </font>
    <font>
      <b/>
      <sz val="8"/>
      <color theme="1"/>
      <name val="Arial"/>
      <family val="2"/>
    </font>
    <font>
      <b/>
      <sz val="9"/>
      <color theme="1"/>
      <name val="Arial"/>
      <family val="2"/>
    </font>
    <font>
      <b/>
      <sz val="10"/>
      <color theme="1"/>
      <name val="Arial"/>
      <family val="2"/>
    </font>
    <font>
      <b/>
      <sz val="12"/>
      <color theme="1"/>
      <name val="Arial"/>
      <family val="2"/>
    </font>
    <font>
      <b/>
      <sz val="14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auto="1"/>
      </bottom>
    </border>
    <border>
      <left/>
      <right/>
      <top style="thin">
        <color auto="1"/>
      </top>
      <bottom/>
    </border>
  </borders>
  <cellStyleXfs count="23">
    <xf numFmtId="0" fontId="0" fillId="0" borderId="0">
      <alignment/>
      <protection/>
    </xf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2" fillId="0" borderId="1">
      <alignment/>
      <protection/>
    </xf>
    <xf numFmtId="0" fontId="2" fillId="0" borderId="0">
      <alignment/>
      <protection/>
    </xf>
    <xf numFmtId="0" fontId="2" fillId="0" borderId="2">
      <alignment/>
      <protection/>
    </xf>
  </cellStyleXfs>
  <cellXfs count="57">
    <xf numFmtId="0" fontId="0" fillId="0" borderId="0" xfId="0"/>
    <xf numFmtId="0" fontId="2" fillId="0" borderId="0" xfId="0" applyFont="1"/>
    <xf numFmtId="0" fontId="8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0" fillId="0" borderId="0" xfId="0" applyAlignment="1">
      <alignment horizontal="left"/>
    </xf>
    <xf numFmtId="0" fontId="3" fillId="0" borderId="0" xfId="0" applyFont="1" applyAlignment="1">
      <alignment horizontal="left"/>
    </xf>
    <xf numFmtId="0" fontId="3" fillId="0" borderId="0" xfId="0" applyFont="1"/>
    <xf numFmtId="0" fontId="0" fillId="0" borderId="0" xfId="0" applyAlignment="1">
      <alignment horizontal="left" indent="1"/>
    </xf>
    <xf numFmtId="0" fontId="3" fillId="0" borderId="0" xfId="0" applyFont="1" applyAlignment="1">
      <alignment horizontal="left" indent="1"/>
    </xf>
    <xf numFmtId="0" fontId="0" fillId="0" borderId="0" xfId="0" applyAlignment="1">
      <alignment horizontal="left" indent="2"/>
    </xf>
    <xf numFmtId="0" fontId="3" fillId="0" borderId="0" xfId="0" applyFont="1" applyAlignment="1">
      <alignment horizontal="left" indent="2"/>
    </xf>
    <xf numFmtId="0" fontId="0" fillId="0" borderId="0" xfId="0" applyAlignment="1">
      <alignment horizontal="left" indent="3"/>
    </xf>
    <xf numFmtId="0" fontId="3" fillId="0" borderId="0" xfId="0" applyFont="1" applyAlignment="1">
      <alignment horizontal="left" indent="3"/>
    </xf>
    <xf numFmtId="177" fontId="0" fillId="0" borderId="0" xfId="0" applyNumberFormat="1"/>
    <xf numFmtId="177" fontId="3" fillId="0" borderId="0" xfId="0" applyNumberFormat="1" applyFont="1"/>
    <xf numFmtId="0" fontId="2" fillId="0" borderId="0" xfId="0" applyFont="1" applyAlignment="1">
      <alignment horizontal="left" indent="2"/>
    </xf>
    <xf numFmtId="0" fontId="4" fillId="0" borderId="0" xfId="0" applyFont="1" applyAlignment="1">
      <alignment horizontal="left" indent="2"/>
    </xf>
    <xf numFmtId="177" fontId="2" fillId="0" borderId="0" xfId="0" applyNumberFormat="1" applyFont="1"/>
    <xf numFmtId="177" fontId="2" fillId="0" borderId="2" xfId="0" applyNumberFormat="1" applyFont="1" applyBorder="1"/>
    <xf numFmtId="177" fontId="4" fillId="0" borderId="2" xfId="0" applyNumberFormat="1" applyFont="1" applyBorder="1"/>
    <xf numFmtId="0" fontId="2" fillId="0" borderId="0" xfId="0" applyFont="1" applyAlignment="1">
      <alignment horizontal="left" indent="1"/>
    </xf>
    <xf numFmtId="0" fontId="4" fillId="0" borderId="0" xfId="0" applyFont="1" applyAlignment="1">
      <alignment horizontal="left" indent="1"/>
    </xf>
    <xf numFmtId="0" fontId="2" fillId="0" borderId="0" xfId="0" applyFont="1" applyAlignment="1">
      <alignment horizontal="left"/>
    </xf>
    <xf numFmtId="0" fontId="4" fillId="0" borderId="0" xfId="0" applyFont="1" applyAlignment="1">
      <alignment horizontal="left"/>
    </xf>
    <xf numFmtId="0" fontId="0" fillId="0" borderId="0" xfId="0" applyAlignment="1">
      <alignment horizontal="left" indent="4"/>
    </xf>
    <xf numFmtId="0" fontId="3" fillId="0" borderId="0" xfId="0" applyFont="1" applyAlignment="1">
      <alignment horizontal="left" indent="4"/>
    </xf>
    <xf numFmtId="0" fontId="0" fillId="0" borderId="0" xfId="0" applyAlignment="1">
      <alignment horizontal="left" indent="5"/>
    </xf>
    <xf numFmtId="0" fontId="3" fillId="0" borderId="0" xfId="0" applyFont="1" applyAlignment="1">
      <alignment horizontal="left" indent="5"/>
    </xf>
    <xf numFmtId="0" fontId="2" fillId="0" borderId="0" xfId="0" applyFont="1" applyAlignment="1">
      <alignment horizontal="left" indent="4"/>
    </xf>
    <xf numFmtId="0" fontId="4" fillId="0" borderId="0" xfId="0" applyFont="1" applyAlignment="1">
      <alignment horizontal="left" indent="4"/>
    </xf>
    <xf numFmtId="0" fontId="2" fillId="0" borderId="0" xfId="0" applyFont="1" applyAlignment="1">
      <alignment horizontal="left" indent="3"/>
    </xf>
    <xf numFmtId="0" fontId="4" fillId="0" borderId="0" xfId="0" applyFont="1" applyAlignment="1">
      <alignment horizontal="left" indent="3"/>
    </xf>
    <xf numFmtId="0" fontId="2" fillId="0" borderId="1" xfId="20">
      <alignment/>
      <protection/>
    </xf>
    <xf numFmtId="0" fontId="5" fillId="0" borderId="1" xfId="20" applyFont="1">
      <alignment/>
      <protection/>
    </xf>
    <xf numFmtId="0" fontId="8" fillId="0" borderId="0" xfId="0" applyFont="1" applyAlignment="1">
      <alignment horizontal="center" wrapText="1"/>
    </xf>
    <xf numFmtId="0" fontId="7" fillId="0" borderId="0" xfId="0" applyFont="1" applyAlignment="1">
      <alignment horizontal="center" wrapText="1"/>
    </xf>
    <xf numFmtId="0" fontId="6" fillId="0" borderId="0" xfId="0" applyFont="1" applyAlignment="1">
      <alignment horizontal="center" wrapText="1"/>
    </xf>
    <xf numFmtId="0" fontId="5" fillId="0" borderId="1" xfId="20" applyFont="1" applyAlignment="1">
      <alignment wrapText="1"/>
      <protection/>
    </xf>
    <xf numFmtId="0" fontId="3" fillId="0" borderId="0" xfId="0" applyFont="1" applyAlignment="1">
      <alignment horizontal="left" wrapText="1"/>
    </xf>
    <xf numFmtId="0" fontId="3" fillId="0" borderId="0" xfId="0" applyFont="1" applyAlignment="1">
      <alignment horizontal="left" wrapText="1" indent="1"/>
    </xf>
    <xf numFmtId="0" fontId="3" fillId="0" borderId="0" xfId="0" applyFont="1" applyAlignment="1">
      <alignment horizontal="left" wrapText="1" indent="2"/>
    </xf>
    <xf numFmtId="0" fontId="3" fillId="0" borderId="0" xfId="0" applyFont="1" applyAlignment="1">
      <alignment horizontal="left" wrapText="1" indent="3"/>
    </xf>
    <xf numFmtId="0" fontId="4" fillId="0" borderId="0" xfId="0" applyFont="1" applyAlignment="1">
      <alignment horizontal="left" wrapText="1" indent="2"/>
    </xf>
    <xf numFmtId="0" fontId="4" fillId="0" borderId="0" xfId="0" applyFont="1" applyAlignment="1">
      <alignment horizontal="left" wrapText="1" indent="1"/>
    </xf>
    <xf numFmtId="0" fontId="4" fillId="0" borderId="0" xfId="0" applyFont="1" applyAlignment="1">
      <alignment horizontal="left" wrapText="1"/>
    </xf>
    <xf numFmtId="0" fontId="3" fillId="0" borderId="0" xfId="0" applyFont="1" applyAlignment="1">
      <alignment horizontal="left" wrapText="1" indent="4"/>
    </xf>
    <xf numFmtId="0" fontId="3" fillId="0" borderId="0" xfId="0" applyFont="1" applyAlignment="1">
      <alignment horizontal="left" wrapText="1" indent="5"/>
    </xf>
    <xf numFmtId="0" fontId="4" fillId="0" borderId="0" xfId="0" applyFont="1" applyAlignment="1">
      <alignment horizontal="left" wrapText="1" indent="4"/>
    </xf>
    <xf numFmtId="0" fontId="4" fillId="0" borderId="0" xfId="0" applyFont="1" applyAlignment="1">
      <alignment horizontal="left" wrapText="1" indent="3"/>
    </xf>
    <xf numFmtId="0" fontId="0" fillId="0" borderId="0" xfId="0" applyAlignment="1">
      <alignment wrapText="1"/>
    </xf>
    <xf numFmtId="0" fontId="5" fillId="0" borderId="1" xfId="20" applyFont="1" applyBorder="1" applyAlignment="1">
      <alignment wrapText="1"/>
      <protection/>
    </xf>
    <xf numFmtId="0" fontId="5" fillId="0" borderId="1" xfId="20" applyFont="1" applyBorder="1" applyAlignment="1">
      <alignment horizontal="center" wrapText="1"/>
      <protection/>
    </xf>
    <xf numFmtId="0" fontId="3" fillId="0" borderId="0" xfId="0" applyFont="1" applyAlignment="1">
      <alignment wrapText="1"/>
    </xf>
    <xf numFmtId="177" fontId="3" fillId="0" borderId="0" xfId="0" applyNumberFormat="1" applyFont="1" applyAlignment="1">
      <alignment wrapText="1"/>
    </xf>
    <xf numFmtId="177" fontId="4" fillId="0" borderId="2" xfId="0" applyNumberFormat="1" applyFont="1" applyBorder="1" applyAlignment="1">
      <alignment wrapText="1"/>
    </xf>
    <xf numFmtId="0" fontId="3" fillId="0" borderId="0" xfId="0" applyFont="1" applyAlignment="1">
      <alignment horizontal="center" wrapText="1"/>
    </xf>
  </cellXfs>
  <cellStyles count="9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  <cellStyle name="HeaderCellStyle" xfId="20"/>
    <cellStyle name="GroupedCellStyle" xfId="21"/>
    <cellStyle name="TotalCellStyle" xfId="2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theme" Target="theme/theme1.xml" /><Relationship Id="rId2" Type="http://schemas.openxmlformats.org/officeDocument/2006/relationships/worksheet" Target="worksheets/sheet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Relationship Id="rId5" Type="http://schemas.openxmlformats.org/officeDocument/2006/relationships/calcChain" Target="calcChain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xr="http://schemas.microsoft.com/office/spreadsheetml/2014/revision" xmlns:x14ac="http://schemas.microsoft.com/office/spreadsheetml/2009/9/ac" xmlns:xr2="http://schemas.microsoft.com/office/spreadsheetml/2015/revision2" xmlns:xr3="http://schemas.microsoft.com/office/spreadsheetml/2016/revision3" mc:Ignorable="x14ac xr xr2 xr3" xr:uid="{8D4B3FEF-A70D-B944-82F4-C9836B181100}">
  <dimension ref="A1:Y74"/>
  <sheetViews>
    <sheetView tabSelected="1" workbookViewId="0" topLeftCell="A1"/>
  </sheetViews>
  <sheetFormatPr defaultColWidth="11.255" defaultRowHeight="16" outlineLevelRow="5"/>
  <cols>
    <col min="1" max="1" width="35" style="50" customWidth="1"/>
    <col min="2" max="2" width="16.125" style="50" customWidth="1"/>
    <col min="3" max="5" width="17" style="50" customWidth="1"/>
    <col min="6" max="7" width="16.125" style="50" customWidth="1"/>
    <col min="8" max="13" width="17" style="50" customWidth="1"/>
    <col min="14" max="15" width="19.5" style="50" customWidth="1"/>
    <col min="16" max="16" width="16.125" style="50" customWidth="1"/>
    <col min="17" max="17" width="17" style="50" customWidth="1"/>
    <col min="18" max="25" width="20.375" style="50" customWidth="1"/>
  </cols>
  <sheetData>
    <row r="1" spans="1:1" ht="16">
      <c r="A1" s="35" t="s">
        <v>0</v>
      </c>
    </row>
    <row r="2" spans="1:1" ht="16">
      <c r="A2" s="36" t="s">
        <v>1</v>
      </c>
    </row>
    <row r="3" spans="1:1" ht="16">
      <c r="A3" s="37" t="s">
        <v>2</v>
      </c>
    </row>
    <row r="5" spans="1:25" ht="16">
      <c r="A5" s="52" t="s">
        <v>68</v>
      </c>
      <c r="B5" s="52" t="s">
        <v>69</v>
      </c>
      <c r="C5" s="52" t="s">
        <v>70</v>
      </c>
      <c r="D5" s="52" t="s">
        <v>71</v>
      </c>
      <c r="E5" s="52" t="s">
        <v>72</v>
      </c>
      <c r="F5" s="52" t="s">
        <v>73</v>
      </c>
      <c r="G5" s="52" t="s">
        <v>74</v>
      </c>
      <c r="H5" s="52" t="s">
        <v>75</v>
      </c>
      <c r="I5" s="52" t="s">
        <v>76</v>
      </c>
      <c r="J5" s="52" t="s">
        <v>77</v>
      </c>
      <c r="K5" s="52" t="s">
        <v>78</v>
      </c>
      <c r="L5" s="52" t="s">
        <v>79</v>
      </c>
      <c r="M5" s="52" t="s">
        <v>80</v>
      </c>
      <c r="N5" s="52" t="s">
        <v>81</v>
      </c>
      <c r="O5" s="52" t="s">
        <v>82</v>
      </c>
      <c r="P5" s="52" t="s">
        <v>83</v>
      </c>
      <c r="Q5" s="52" t="s">
        <v>84</v>
      </c>
      <c r="R5" s="52" t="s">
        <v>85</v>
      </c>
      <c r="S5" s="52" t="s">
        <v>86</v>
      </c>
      <c r="T5" s="52" t="s">
        <v>87</v>
      </c>
      <c r="U5" s="52" t="s">
        <v>88</v>
      </c>
      <c r="V5" s="52" t="s">
        <v>89</v>
      </c>
      <c r="W5" s="52" t="s">
        <v>90</v>
      </c>
      <c r="X5" s="52" t="s">
        <v>91</v>
      </c>
      <c r="Y5" s="52" t="s">
        <v>92</v>
      </c>
    </row>
    <row r="6" spans="1:25" ht="16">
      <c r="A6" s="39" t="s">
        <v>3</v>
      </c>
      <c r="B6" s="53"/>
      <c r="C6" s="53"/>
      <c r="D6" s="53"/>
      <c r="E6" s="53"/>
      <c r="F6" s="53"/>
      <c r="G6" s="53"/>
      <c r="H6" s="53"/>
      <c r="I6" s="53"/>
      <c r="J6" s="53"/>
      <c r="K6" s="53"/>
      <c r="L6" s="53"/>
      <c r="M6" s="53"/>
      <c r="N6" s="53"/>
      <c r="O6" s="53"/>
      <c r="P6" s="53"/>
      <c r="Q6" s="53"/>
      <c r="R6" s="53"/>
      <c r="S6" s="53"/>
      <c r="T6" s="53"/>
      <c r="U6" s="53"/>
      <c r="V6" s="53"/>
      <c r="W6" s="53"/>
      <c r="X6" s="53"/>
      <c r="Y6" s="53"/>
    </row>
    <row r="7" spans="1:25" ht="16" outlineLevel="1">
      <c r="A7" s="40" t="s">
        <v>4</v>
      </c>
      <c r="B7" s="53"/>
      <c r="C7" s="53"/>
      <c r="D7" s="53"/>
      <c r="E7" s="53"/>
      <c r="F7" s="53"/>
      <c r="G7" s="53"/>
      <c r="H7" s="53"/>
      <c r="I7" s="53"/>
      <c r="J7" s="53"/>
      <c r="K7" s="53"/>
      <c r="L7" s="53"/>
      <c r="M7" s="53"/>
      <c r="N7" s="53"/>
      <c r="O7" s="53"/>
      <c r="P7" s="53"/>
      <c r="Q7" s="53"/>
      <c r="R7" s="53"/>
      <c r="S7" s="53"/>
      <c r="T7" s="53"/>
      <c r="U7" s="53"/>
      <c r="V7" s="53"/>
      <c r="W7" s="53"/>
      <c r="X7" s="53"/>
      <c r="Y7" s="53"/>
    </row>
    <row r="8" spans="1:25" ht="16" outlineLevel="2">
      <c r="A8" s="41" t="s">
        <v>5</v>
      </c>
      <c r="B8" s="53"/>
      <c r="C8" s="53"/>
      <c r="D8" s="53"/>
      <c r="E8" s="53"/>
      <c r="F8" s="53"/>
      <c r="G8" s="53"/>
      <c r="H8" s="53"/>
      <c r="I8" s="53"/>
      <c r="J8" s="53"/>
      <c r="K8" s="53"/>
      <c r="L8" s="53"/>
      <c r="M8" s="53"/>
      <c r="N8" s="53"/>
      <c r="O8" s="53"/>
      <c r="P8" s="53"/>
      <c r="Q8" s="53"/>
      <c r="R8" s="53"/>
      <c r="S8" s="53"/>
      <c r="T8" s="53"/>
      <c r="U8" s="53"/>
      <c r="V8" s="53"/>
      <c r="W8" s="53"/>
      <c r="X8" s="53"/>
      <c r="Y8" s="53"/>
    </row>
    <row r="9" spans="1:25" ht="16" outlineLevel="3">
      <c r="A9" s="42" t="s">
        <v>6</v>
      </c>
      <c r="B9" s="53"/>
      <c r="C9" s="53"/>
      <c r="D9" s="53"/>
      <c r="E9" s="53"/>
      <c r="F9" s="53"/>
      <c r="G9" s="53"/>
      <c r="H9" s="53"/>
      <c r="I9" s="54">
        <v>50000.0</v>
      </c>
      <c r="J9" s="54">
        <v>79777.0</v>
      </c>
      <c r="K9" s="54">
        <v>55039.0</v>
      </c>
      <c r="L9" s="54">
        <v>106770.0</v>
      </c>
      <c r="M9" s="54">
        <v>44827.14</v>
      </c>
      <c r="N9" s="54">
        <v>42757.59</v>
      </c>
      <c r="O9" s="54">
        <v>190957.59</v>
      </c>
      <c r="P9" s="54">
        <v>217022.72999999998</v>
      </c>
      <c r="Q9" s="54">
        <v>116167.64999999998</v>
      </c>
      <c r="R9" s="54">
        <v>207289.07999999996</v>
      </c>
      <c r="S9" s="54">
        <v>210525.02999999997</v>
      </c>
      <c r="T9" s="54">
        <v>177648.26999999996</v>
      </c>
      <c r="U9" s="54">
        <v>182783.40999999997</v>
      </c>
      <c r="V9" s="54">
        <v>192207.17999999996</v>
      </c>
      <c r="W9" s="54">
        <v>130211.46999999997</v>
      </c>
      <c r="X9" s="54">
        <v>240633.83999999997</v>
      </c>
      <c r="Y9" s="54">
        <v>87346.96999999997</v>
      </c>
    </row>
    <row r="10" spans="1:25" ht="16" outlineLevel="3">
      <c r="A10" s="42" t="s">
        <v>7</v>
      </c>
      <c r="B10" s="54">
        <v>309578.86</v>
      </c>
      <c r="C10" s="54">
        <v>453495.07999999996</v>
      </c>
      <c r="D10" s="54">
        <v>374318.42999999993</v>
      </c>
      <c r="E10" s="54">
        <v>322531.82999999996</v>
      </c>
      <c r="F10" s="54">
        <v>479292.49</v>
      </c>
      <c r="G10" s="54">
        <v>255742.71</v>
      </c>
      <c r="H10" s="54">
        <v>243143.93</v>
      </c>
      <c r="I10" s="54">
        <v>313284.72</v>
      </c>
      <c r="J10" s="54">
        <v>220896.68999999997</v>
      </c>
      <c r="K10" s="54">
        <v>144110.63999999996</v>
      </c>
      <c r="L10" s="54">
        <v>289674.87</v>
      </c>
      <c r="M10" s="54">
        <v>107027.85999999999</v>
      </c>
      <c r="N10" s="54">
        <v>244088.65999999997</v>
      </c>
      <c r="O10" s="54">
        <v>81009.21999999997</v>
      </c>
      <c r="P10" s="54">
        <v>416003.91</v>
      </c>
      <c r="Q10" s="54">
        <v>354226.61</v>
      </c>
      <c r="R10" s="54">
        <v>545340.19</v>
      </c>
      <c r="S10" s="54">
        <v>813624.33</v>
      </c>
      <c r="T10" s="54">
        <v>194074.86</v>
      </c>
      <c r="U10" s="54">
        <v>286242.52999999997</v>
      </c>
      <c r="V10" s="54">
        <v>312732.85</v>
      </c>
      <c r="W10" s="54">
        <v>380650.51</v>
      </c>
      <c r="X10" s="54">
        <v>519873.52</v>
      </c>
      <c r="Y10" s="54">
        <v>351545.93000000005</v>
      </c>
    </row>
    <row r="11" spans="1:25" ht="16" outlineLevel="3">
      <c r="A11" s="42" t="s">
        <v>8</v>
      </c>
      <c r="B11" s="54">
        <v>1764129.41</v>
      </c>
      <c r="C11" s="54">
        <v>1771137.5999999999</v>
      </c>
      <c r="D11" s="54">
        <v>1778658.8699999999</v>
      </c>
      <c r="E11" s="54">
        <v>1785968.42</v>
      </c>
      <c r="F11" s="54">
        <v>1793552.67</v>
      </c>
      <c r="G11" s="54">
        <v>1976461.1099999999</v>
      </c>
      <c r="H11" s="54">
        <v>2235922.79</v>
      </c>
      <c r="I11" s="54">
        <v>2025541.09</v>
      </c>
      <c r="J11" s="54">
        <v>2183596.99</v>
      </c>
      <c r="K11" s="54">
        <v>2442589.7800000003</v>
      </c>
      <c r="L11" s="54">
        <v>2200724.5500000003</v>
      </c>
      <c r="M11" s="54">
        <v>2008435.3200000003</v>
      </c>
      <c r="N11" s="54">
        <v>1914995.4800000002</v>
      </c>
      <c r="O11" s="54">
        <v>2321046.97</v>
      </c>
      <c r="P11" s="54">
        <v>2178471.89</v>
      </c>
      <c r="Q11" s="54">
        <v>1985261.3900000001</v>
      </c>
      <c r="R11" s="54">
        <v>2117279.81</v>
      </c>
      <c r="S11" s="54">
        <v>2124240.72</v>
      </c>
      <c r="T11" s="54">
        <v>2931544.99</v>
      </c>
      <c r="U11" s="54">
        <v>3141657.6300000004</v>
      </c>
      <c r="V11" s="54">
        <v>3731717.0300000003</v>
      </c>
      <c r="W11" s="54">
        <v>3743525.6100000003</v>
      </c>
      <c r="X11" s="54">
        <v>4455196.03</v>
      </c>
      <c r="Y11" s="54">
        <v>3417787.4000000004</v>
      </c>
    </row>
    <row r="12" spans="1:25" ht="16" outlineLevel="2">
      <c r="A12" s="43" t="s">
        <v>9</v>
      </c>
      <c r="B12" s="55">
        <f>B8+B9+B10+B11</f>
        <v>2073708.27</v>
      </c>
      <c r="C12" s="55">
        <f>C8+C9+C10+C11</f>
        <v>2224632.6799999997</v>
      </c>
      <c r="D12" s="55">
        <f>D8+D9+D10+D11</f>
        <v>2152977.3</v>
      </c>
      <c r="E12" s="55">
        <f>E8+E9+E10+E11</f>
        <v>2108500.25</v>
      </c>
      <c r="F12" s="55">
        <f>F8+F9+F10+F11</f>
        <v>2272845.16</v>
      </c>
      <c r="G12" s="55">
        <f>G8+G9+G10+G11</f>
        <v>2232203.82</v>
      </c>
      <c r="H12" s="55">
        <f>H8+H9+H10+H11</f>
        <v>2479066.72</v>
      </c>
      <c r="I12" s="55">
        <f>I8+I9+I10+I11</f>
        <v>2388825.81</v>
      </c>
      <c r="J12" s="55">
        <f>J8+J9+J10+J11</f>
        <v>2484270.68</v>
      </c>
      <c r="K12" s="55">
        <f>K8+K9+K10+K11</f>
        <v>2641739.4200000004</v>
      </c>
      <c r="L12" s="55">
        <f>L8+L9+L10+L11</f>
        <v>2597169.4200000004</v>
      </c>
      <c r="M12" s="55">
        <f>M8+M9+M10+M11</f>
        <v>2160290.3200000003</v>
      </c>
      <c r="N12" s="55">
        <f>N8+N9+N10+N11</f>
        <v>2201841.7300000004</v>
      </c>
      <c r="O12" s="55">
        <f>O8+O9+O10+O11</f>
        <v>2593013.7800000003</v>
      </c>
      <c r="P12" s="55">
        <f>P8+P9+P10+P11</f>
        <v>2811498.5300000003</v>
      </c>
      <c r="Q12" s="55">
        <f>Q8+Q9+Q10+Q11</f>
        <v>2455655.65</v>
      </c>
      <c r="R12" s="55">
        <f>R8+R9+R10+R11</f>
        <v>2869909.08</v>
      </c>
      <c r="S12" s="55">
        <f>S8+S9+S10+S11</f>
        <v>3148390.08</v>
      </c>
      <c r="T12" s="55">
        <f>T8+T9+T10+T11</f>
        <v>3303268.12</v>
      </c>
      <c r="U12" s="55">
        <f>U8+U9+U10+U11</f>
        <v>3610683.5700000003</v>
      </c>
      <c r="V12" s="55">
        <f>V8+V9+V10+V11</f>
        <v>4236657.0600000005</v>
      </c>
      <c r="W12" s="55">
        <f>W8+W9+W10+W11</f>
        <v>4254387.59</v>
      </c>
      <c r="X12" s="55">
        <f>X8+X9+X10+X11</f>
        <v>5215703.390000001</v>
      </c>
      <c r="Y12" s="55">
        <f>Y8+Y9+Y10+Y11</f>
        <v>3856680.3000000003</v>
      </c>
    </row>
    <row r="13" spans="1:25" ht="16" outlineLevel="2">
      <c r="A13" s="41" t="s">
        <v>10</v>
      </c>
      <c r="B13" s="53"/>
      <c r="C13" s="53"/>
      <c r="D13" s="53"/>
      <c r="E13" s="53"/>
      <c r="F13" s="53"/>
      <c r="G13" s="53"/>
      <c r="H13" s="53"/>
      <c r="I13" s="53"/>
      <c r="J13" s="53"/>
      <c r="K13" s="53"/>
      <c r="L13" s="53"/>
      <c r="M13" s="53"/>
      <c r="N13" s="53"/>
      <c r="O13" s="53"/>
      <c r="P13" s="53"/>
      <c r="Q13" s="53"/>
      <c r="R13" s="53"/>
      <c r="S13" s="53"/>
      <c r="T13" s="53"/>
      <c r="U13" s="53"/>
      <c r="V13" s="53"/>
      <c r="W13" s="53"/>
      <c r="X13" s="53"/>
      <c r="Y13" s="53"/>
    </row>
    <row r="14" spans="1:25" ht="16" outlineLevel="3">
      <c r="A14" s="42" t="s">
        <v>11</v>
      </c>
      <c r="B14" s="54">
        <v>305982.89</v>
      </c>
      <c r="C14" s="54">
        <v>314045.39</v>
      </c>
      <c r="D14" s="54">
        <v>260345.39</v>
      </c>
      <c r="E14" s="54">
        <v>222659.89</v>
      </c>
      <c r="F14" s="54">
        <v>1267595.3900000001</v>
      </c>
      <c r="G14" s="54">
        <v>1329045.3900000001</v>
      </c>
      <c r="H14" s="54">
        <v>946545.3900000001</v>
      </c>
      <c r="I14" s="54">
        <v>802064.3900000001</v>
      </c>
      <c r="J14" s="54">
        <v>728815.3900000001</v>
      </c>
      <c r="K14" s="54">
        <v>637060.3900000001</v>
      </c>
      <c r="L14" s="54">
        <v>628165.3900000001</v>
      </c>
      <c r="M14" s="54">
        <v>598120.3900000001</v>
      </c>
      <c r="N14" s="54">
        <v>558536.4200000002</v>
      </c>
      <c r="O14" s="54">
        <v>905870.3900000001</v>
      </c>
      <c r="P14" s="54">
        <v>965120.3900000001</v>
      </c>
      <c r="Q14" s="54">
        <v>796320.3900000001</v>
      </c>
      <c r="R14" s="54">
        <v>944320.3900000001</v>
      </c>
      <c r="S14" s="54">
        <v>1651238.8900000001</v>
      </c>
      <c r="T14" s="54">
        <v>1169803.8900000001</v>
      </c>
      <c r="U14" s="54">
        <v>1279783.7600000002</v>
      </c>
      <c r="V14" s="54">
        <v>1052733.7600000002</v>
      </c>
      <c r="W14" s="54">
        <v>1940553.37</v>
      </c>
      <c r="X14" s="54">
        <v>865378.3700000001</v>
      </c>
      <c r="Y14" s="54">
        <v>2735628.37</v>
      </c>
    </row>
    <row r="15" spans="1:25" ht="16" outlineLevel="2">
      <c r="A15" s="43" t="s">
        <v>12</v>
      </c>
      <c r="B15" s="55">
        <f>B13+B14</f>
        <v>305982.89</v>
      </c>
      <c r="C15" s="55">
        <f>C13+C14</f>
        <v>314045.39</v>
      </c>
      <c r="D15" s="55">
        <f>D13+D14</f>
        <v>260345.39</v>
      </c>
      <c r="E15" s="55">
        <f>E13+E14</f>
        <v>222659.89</v>
      </c>
      <c r="F15" s="55">
        <f>F13+F14</f>
        <v>1267595.3900000001</v>
      </c>
      <c r="G15" s="55">
        <f>G13+G14</f>
        <v>1329045.3900000001</v>
      </c>
      <c r="H15" s="55">
        <f>H13+H14</f>
        <v>946545.3900000001</v>
      </c>
      <c r="I15" s="55">
        <f>I13+I14</f>
        <v>802064.3900000001</v>
      </c>
      <c r="J15" s="55">
        <f>J13+J14</f>
        <v>728815.3900000001</v>
      </c>
      <c r="K15" s="55">
        <f>K13+K14</f>
        <v>637060.3900000001</v>
      </c>
      <c r="L15" s="55">
        <f>L13+L14</f>
        <v>628165.3900000001</v>
      </c>
      <c r="M15" s="55">
        <f>M13+M14</f>
        <v>598120.3900000001</v>
      </c>
      <c r="N15" s="55">
        <f>N13+N14</f>
        <v>558536.4200000002</v>
      </c>
      <c r="O15" s="55">
        <f>O13+O14</f>
        <v>905870.3900000001</v>
      </c>
      <c r="P15" s="55">
        <f>P13+P14</f>
        <v>965120.3900000001</v>
      </c>
      <c r="Q15" s="55">
        <f>Q13+Q14</f>
        <v>796320.3900000001</v>
      </c>
      <c r="R15" s="55">
        <f>R13+R14</f>
        <v>944320.3900000001</v>
      </c>
      <c r="S15" s="55">
        <f>S13+S14</f>
        <v>1651238.8900000001</v>
      </c>
      <c r="T15" s="55">
        <f>T13+T14</f>
        <v>1169803.8900000001</v>
      </c>
      <c r="U15" s="55">
        <f>U13+U14</f>
        <v>1279783.7600000002</v>
      </c>
      <c r="V15" s="55">
        <f>V13+V14</f>
        <v>1052733.7600000002</v>
      </c>
      <c r="W15" s="55">
        <f>W13+W14</f>
        <v>1940553.37</v>
      </c>
      <c r="X15" s="55">
        <f>X13+X14</f>
        <v>865378.3700000001</v>
      </c>
      <c r="Y15" s="55">
        <f>Y13+Y14</f>
        <v>2735628.37</v>
      </c>
    </row>
    <row r="16" spans="1:25" ht="16" outlineLevel="2">
      <c r="A16" s="41" t="s">
        <v>13</v>
      </c>
      <c r="B16" s="53"/>
      <c r="C16" s="53"/>
      <c r="D16" s="53"/>
      <c r="E16" s="53"/>
      <c r="F16" s="53"/>
      <c r="G16" s="53"/>
      <c r="H16" s="53"/>
      <c r="I16" s="53"/>
      <c r="J16" s="53"/>
      <c r="K16" s="53"/>
      <c r="L16" s="53"/>
      <c r="M16" s="53"/>
      <c r="N16" s="53"/>
      <c r="O16" s="53"/>
      <c r="P16" s="53"/>
      <c r="Q16" s="53"/>
      <c r="R16" s="53"/>
      <c r="S16" s="53"/>
      <c r="T16" s="53"/>
      <c r="U16" s="53"/>
      <c r="V16" s="53"/>
      <c r="W16" s="53"/>
      <c r="X16" s="53"/>
      <c r="Y16" s="53"/>
    </row>
    <row r="17" spans="1:25" ht="16" outlineLevel="3">
      <c r="A17" s="42" t="s">
        <v>14</v>
      </c>
      <c r="B17" s="53"/>
      <c r="C17" s="53"/>
      <c r="D17" s="53"/>
      <c r="E17" s="53"/>
      <c r="F17" s="53"/>
      <c r="G17" s="53"/>
      <c r="H17" s="53"/>
      <c r="I17" s="53"/>
      <c r="J17" s="53"/>
      <c r="K17" s="53"/>
      <c r="L17" s="53"/>
      <c r="M17" s="53"/>
      <c r="N17" s="53"/>
      <c r="O17" s="53"/>
      <c r="P17" s="54">
        <v>-102158.95</v>
      </c>
      <c r="Q17" s="54">
        <v>-102158.95</v>
      </c>
      <c r="R17" s="54">
        <v>-102158.95</v>
      </c>
      <c r="S17" s="54">
        <v>-102158.95</v>
      </c>
      <c r="T17" s="54">
        <v>-102158.95</v>
      </c>
      <c r="U17" s="54">
        <v>-102158.95</v>
      </c>
      <c r="V17" s="54">
        <v>-102158.95</v>
      </c>
      <c r="W17" s="54">
        <v>-102158.95</v>
      </c>
      <c r="X17" s="54">
        <v>-102158.95</v>
      </c>
      <c r="Y17" s="54">
        <v>-102158.95</v>
      </c>
    </row>
    <row r="18" spans="1:25" ht="16" outlineLevel="3">
      <c r="A18" s="42" t="s">
        <v>15</v>
      </c>
      <c r="B18" s="54">
        <v>0</v>
      </c>
      <c r="C18" s="54">
        <v>0</v>
      </c>
      <c r="D18" s="54">
        <v>0</v>
      </c>
      <c r="E18" s="54">
        <v>0</v>
      </c>
      <c r="F18" s="54">
        <v>0</v>
      </c>
      <c r="G18" s="54">
        <v>0</v>
      </c>
      <c r="H18" s="54">
        <v>0</v>
      </c>
      <c r="I18" s="54">
        <v>0</v>
      </c>
      <c r="J18" s="54">
        <v>0</v>
      </c>
      <c r="K18" s="54">
        <v>0</v>
      </c>
      <c r="L18" s="54">
        <v>0</v>
      </c>
      <c r="M18" s="54">
        <v>0</v>
      </c>
      <c r="N18" s="54">
        <v>0</v>
      </c>
      <c r="O18" s="54">
        <v>0</v>
      </c>
      <c r="P18" s="54">
        <v>0</v>
      </c>
      <c r="Q18" s="54">
        <v>0</v>
      </c>
      <c r="R18" s="54">
        <v>0</v>
      </c>
      <c r="S18" s="54">
        <v>0</v>
      </c>
      <c r="T18" s="54">
        <v>2100.0</v>
      </c>
      <c r="U18" s="54">
        <v>2750.0</v>
      </c>
      <c r="V18" s="54">
        <v>3400.0</v>
      </c>
      <c r="W18" s="54">
        <v>6150.0</v>
      </c>
      <c r="X18" s="54">
        <v>6150.0</v>
      </c>
      <c r="Y18" s="54">
        <v>6150.0</v>
      </c>
    </row>
    <row r="19" spans="1:25" ht="16" outlineLevel="3">
      <c r="A19" s="42" t="s">
        <v>16</v>
      </c>
      <c r="B19" s="54">
        <v>0</v>
      </c>
      <c r="C19" s="54">
        <v>0</v>
      </c>
      <c r="D19" s="54">
        <v>0</v>
      </c>
      <c r="E19" s="54">
        <v>0</v>
      </c>
      <c r="F19" s="54">
        <v>0</v>
      </c>
      <c r="G19" s="54">
        <v>0</v>
      </c>
      <c r="H19" s="54">
        <v>0</v>
      </c>
      <c r="I19" s="54">
        <v>0</v>
      </c>
      <c r="J19" s="54">
        <v>0</v>
      </c>
      <c r="K19" s="54">
        <v>0</v>
      </c>
      <c r="L19" s="54">
        <v>0</v>
      </c>
      <c r="M19" s="54">
        <v>0</v>
      </c>
      <c r="N19" s="54">
        <v>0</v>
      </c>
      <c r="O19" s="54">
        <v>0</v>
      </c>
      <c r="P19" s="54">
        <v>0</v>
      </c>
      <c r="Q19" s="54">
        <v>0</v>
      </c>
      <c r="R19" s="54">
        <v>0</v>
      </c>
      <c r="S19" s="54">
        <v>0</v>
      </c>
      <c r="T19" s="54">
        <v>0</v>
      </c>
      <c r="U19" s="54">
        <v>0</v>
      </c>
      <c r="V19" s="54">
        <v>0</v>
      </c>
      <c r="W19" s="54">
        <v>0</v>
      </c>
      <c r="X19" s="54">
        <v>0</v>
      </c>
      <c r="Y19" s="54">
        <v>0</v>
      </c>
    </row>
    <row r="20" spans="1:25" ht="16" outlineLevel="3">
      <c r="A20" s="42" t="s">
        <v>17</v>
      </c>
      <c r="B20" s="54">
        <v>0</v>
      </c>
      <c r="C20" s="54">
        <v>0</v>
      </c>
      <c r="D20" s="54">
        <v>0</v>
      </c>
      <c r="E20" s="54">
        <v>700.0</v>
      </c>
      <c r="F20" s="54">
        <v>2780.0</v>
      </c>
      <c r="G20" s="54">
        <v>3130.0</v>
      </c>
      <c r="H20" s="54">
        <v>3480.0</v>
      </c>
      <c r="I20" s="54">
        <v>4063.0</v>
      </c>
      <c r="J20" s="54">
        <v>4780.0</v>
      </c>
      <c r="K20" s="54">
        <v>4630.0</v>
      </c>
      <c r="L20" s="54">
        <v>4780.0</v>
      </c>
      <c r="M20" s="54">
        <v>5580.0</v>
      </c>
      <c r="N20" s="54">
        <v>5780.0</v>
      </c>
      <c r="O20" s="54">
        <v>4180.0</v>
      </c>
      <c r="P20" s="54">
        <v>4694.0</v>
      </c>
      <c r="Q20" s="54">
        <v>5208.0</v>
      </c>
      <c r="R20" s="54">
        <v>4180.0</v>
      </c>
      <c r="S20" s="54">
        <v>14652.5</v>
      </c>
      <c r="T20" s="54">
        <v>10225.0</v>
      </c>
      <c r="U20" s="54">
        <v>13497.5</v>
      </c>
      <c r="V20" s="54">
        <v>14570.0</v>
      </c>
      <c r="W20" s="54">
        <v>18692.5</v>
      </c>
      <c r="X20" s="54">
        <v>22815.0</v>
      </c>
      <c r="Y20" s="54">
        <v>26937.5</v>
      </c>
    </row>
    <row r="21" spans="1:25" ht="16" outlineLevel="3">
      <c r="A21" s="42" t="s">
        <v>18</v>
      </c>
      <c r="B21" s="54">
        <v>185.75</v>
      </c>
      <c r="C21" s="54">
        <v>185.75</v>
      </c>
      <c r="D21" s="54">
        <v>185.75</v>
      </c>
      <c r="E21" s="54">
        <v>185.75</v>
      </c>
      <c r="F21" s="54">
        <v>185.75</v>
      </c>
      <c r="G21" s="54">
        <v>185.75</v>
      </c>
      <c r="H21" s="54">
        <v>185.75</v>
      </c>
      <c r="I21" s="54">
        <v>185.75</v>
      </c>
      <c r="J21" s="54">
        <v>185.75</v>
      </c>
      <c r="K21" s="54">
        <v>185.75</v>
      </c>
      <c r="L21" s="54">
        <v>185.75</v>
      </c>
      <c r="M21" s="54">
        <v>185.75</v>
      </c>
      <c r="N21" s="54">
        <v>185.75</v>
      </c>
      <c r="O21" s="54">
        <v>185.75</v>
      </c>
      <c r="P21" s="54">
        <v>185.75</v>
      </c>
      <c r="Q21" s="54">
        <v>185.75</v>
      </c>
      <c r="R21" s="54">
        <v>185.75</v>
      </c>
      <c r="S21" s="54">
        <v>185.75</v>
      </c>
      <c r="T21" s="54">
        <v>185.75</v>
      </c>
      <c r="U21" s="54">
        <v>185.75</v>
      </c>
      <c r="V21" s="54">
        <v>185.75</v>
      </c>
      <c r="W21" s="54">
        <v>185.75</v>
      </c>
      <c r="X21" s="54">
        <v>185.75</v>
      </c>
      <c r="Y21" s="54">
        <v>185.75</v>
      </c>
    </row>
    <row r="22" spans="1:25" ht="16" outlineLevel="2">
      <c r="A22" s="43" t="s">
        <v>19</v>
      </c>
      <c r="B22" s="55">
        <f>B16+B17+B18+B19+B20+B21</f>
        <v>185.75</v>
      </c>
      <c r="C22" s="55">
        <f>C16+C17+C18+C19+C20+C21</f>
        <v>185.75</v>
      </c>
      <c r="D22" s="55">
        <f>D16+D17+D18+D19+D20+D21</f>
        <v>185.75</v>
      </c>
      <c r="E22" s="55">
        <f>E16+E17+E18+E19+E20+E21</f>
        <v>885.75</v>
      </c>
      <c r="F22" s="55">
        <f>F16+F17+F18+F19+F20+F21</f>
        <v>2965.75</v>
      </c>
      <c r="G22" s="55">
        <f>G16+G17+G18+G19+G20+G21</f>
        <v>3315.75</v>
      </c>
      <c r="H22" s="55">
        <f>H16+H17+H18+H19+H20+H21</f>
        <v>3665.75</v>
      </c>
      <c r="I22" s="55">
        <f>I16+I17+I18+I19+I20+I21</f>
        <v>4248.75</v>
      </c>
      <c r="J22" s="55">
        <f>J16+J17+J18+J19+J20+J21</f>
        <v>4965.75</v>
      </c>
      <c r="K22" s="55">
        <f>K16+K17+K18+K19+K20+K21</f>
        <v>4815.75</v>
      </c>
      <c r="L22" s="55">
        <f>L16+L17+L18+L19+L20+L21</f>
        <v>4965.75</v>
      </c>
      <c r="M22" s="55">
        <f>M16+M17+M18+M19+M20+M21</f>
        <v>5765.75</v>
      </c>
      <c r="N22" s="55">
        <f>N16+N17+N18+N19+N20+N21</f>
        <v>5965.75</v>
      </c>
      <c r="O22" s="55">
        <f>O16+O17+O18+O19+O20+O21</f>
        <v>4365.75</v>
      </c>
      <c r="P22" s="55">
        <f>P16+P17+P18+P19+P20+P21</f>
        <v>-97279.2</v>
      </c>
      <c r="Q22" s="55">
        <f>Q16+Q17+Q18+Q19+Q20+Q21</f>
        <v>-96765.2</v>
      </c>
      <c r="R22" s="55">
        <f>R16+R17+R18+R19+R20+R21</f>
        <v>-97793.2</v>
      </c>
      <c r="S22" s="55">
        <f>S16+S17+S18+S19+S20+S21</f>
        <v>-87320.7</v>
      </c>
      <c r="T22" s="55">
        <f>T16+T17+T18+T19+T20+T21</f>
        <v>-89648.2</v>
      </c>
      <c r="U22" s="55">
        <f>U16+U17+U18+U19+U20+U21</f>
        <v>-85725.7</v>
      </c>
      <c r="V22" s="55">
        <f>V16+V17+V18+V19+V20+V21</f>
        <v>-84003.2</v>
      </c>
      <c r="W22" s="55">
        <f>W16+W17+W18+W19+W20+W21</f>
        <v>-77130.7</v>
      </c>
      <c r="X22" s="55">
        <f>X16+X17+X18+X19+X20+X21</f>
        <v>-73008.2</v>
      </c>
      <c r="Y22" s="55">
        <f>Y16+Y17+Y18+Y19+Y20+Y21</f>
        <v>-68885.7</v>
      </c>
    </row>
    <row r="23" spans="1:25" ht="16" outlineLevel="1">
      <c r="A23" s="44" t="s">
        <v>20</v>
      </c>
      <c r="B23" s="55">
        <f>B7+B12+B15+B22</f>
        <v>2379876.91</v>
      </c>
      <c r="C23" s="55">
        <f>C7+C12+C15+C22</f>
        <v>2538863.82</v>
      </c>
      <c r="D23" s="55">
        <f>D7+D12+D15+D22</f>
        <v>2413508.44</v>
      </c>
      <c r="E23" s="55">
        <f>E7+E12+E15+E22</f>
        <v>2332045.89</v>
      </c>
      <c r="F23" s="55">
        <f>F7+F12+F15+F22</f>
        <v>3543406.3000000003</v>
      </c>
      <c r="G23" s="55">
        <f>G7+G12+G15+G22</f>
        <v>3564564.96</v>
      </c>
      <c r="H23" s="55">
        <f>H7+H12+H15+H22</f>
        <v>3429277.8600000003</v>
      </c>
      <c r="I23" s="55">
        <f>I7+I12+I15+I22</f>
        <v>3195138.95</v>
      </c>
      <c r="J23" s="55">
        <f>J7+J12+J15+J22</f>
        <v>3218051.8200000003</v>
      </c>
      <c r="K23" s="55">
        <f>K7+K12+K15+K22</f>
        <v>3283615.5600000005</v>
      </c>
      <c r="L23" s="55">
        <f>L7+L12+L15+L22</f>
        <v>3230300.5600000005</v>
      </c>
      <c r="M23" s="55">
        <f>M7+M12+M15+M22</f>
        <v>2764176.4600000004</v>
      </c>
      <c r="N23" s="55">
        <f>N7+N12+N15+N22</f>
        <v>2766343.9000000004</v>
      </c>
      <c r="O23" s="55">
        <f>O7+O12+O15+O22</f>
        <v>3503249.9200000004</v>
      </c>
      <c r="P23" s="55">
        <f>P7+P12+P15+P22</f>
        <v>3679339.72</v>
      </c>
      <c r="Q23" s="55">
        <f>Q7+Q12+Q15+Q22</f>
        <v>3155210.84</v>
      </c>
      <c r="R23" s="55">
        <f>R7+R12+R15+R22</f>
        <v>3716436.27</v>
      </c>
      <c r="S23" s="55">
        <f>S7+S12+S15+S22</f>
        <v>4712308.2700000005</v>
      </c>
      <c r="T23" s="55">
        <f>T7+T12+T15+T22</f>
        <v>4383423.81</v>
      </c>
      <c r="U23" s="55">
        <f>U7+U12+U15+U22</f>
        <v>4804741.63</v>
      </c>
      <c r="V23" s="55">
        <f>V7+V12+V15+V22</f>
        <v>5205387.62</v>
      </c>
      <c r="W23" s="55">
        <f>W7+W12+W15+W22</f>
        <v>6117810.26</v>
      </c>
      <c r="X23" s="55">
        <f>X7+X12+X15+X22</f>
        <v>6008073.5600000005</v>
      </c>
      <c r="Y23" s="55">
        <f>Y7+Y12+Y15+Y22</f>
        <v>6523422.97</v>
      </c>
    </row>
    <row r="24" spans="1:25" ht="16" outlineLevel="1">
      <c r="A24" s="40" t="s">
        <v>21</v>
      </c>
      <c r="B24" s="53"/>
      <c r="C24" s="53"/>
      <c r="D24" s="53"/>
      <c r="E24" s="53"/>
      <c r="F24" s="53"/>
      <c r="G24" s="53"/>
      <c r="H24" s="53"/>
      <c r="I24" s="53"/>
      <c r="J24" s="53"/>
      <c r="K24" s="53"/>
      <c r="L24" s="53"/>
      <c r="M24" s="53"/>
      <c r="N24" s="53"/>
      <c r="O24" s="53"/>
      <c r="P24" s="53"/>
      <c r="Q24" s="53"/>
      <c r="R24" s="53"/>
      <c r="S24" s="53"/>
      <c r="T24" s="53"/>
      <c r="U24" s="53"/>
      <c r="V24" s="53"/>
      <c r="W24" s="53"/>
      <c r="X24" s="53"/>
      <c r="Y24" s="53"/>
    </row>
    <row r="25" spans="1:25" ht="16" outlineLevel="2">
      <c r="A25" s="41" t="s">
        <v>22</v>
      </c>
      <c r="B25" s="54">
        <v>-29149.0</v>
      </c>
      <c r="C25" s="54">
        <v>-29149.0</v>
      </c>
      <c r="D25" s="54">
        <v>-29149.0</v>
      </c>
      <c r="E25" s="54">
        <v>-29149.0</v>
      </c>
      <c r="F25" s="54">
        <v>-29149.0</v>
      </c>
      <c r="G25" s="54">
        <v>-29149.0</v>
      </c>
      <c r="H25" s="54">
        <v>-29149.0</v>
      </c>
      <c r="I25" s="54">
        <v>-29149.0</v>
      </c>
      <c r="J25" s="54">
        <v>-29149.0</v>
      </c>
      <c r="K25" s="54">
        <v>-29149.0</v>
      </c>
      <c r="L25" s="54">
        <v>-29149.0</v>
      </c>
      <c r="M25" s="54">
        <v>-30681.0</v>
      </c>
      <c r="N25" s="54">
        <v>-30681.0</v>
      </c>
      <c r="O25" s="54">
        <v>-30681.0</v>
      </c>
      <c r="P25" s="54">
        <v>-30681.0</v>
      </c>
      <c r="Q25" s="54">
        <v>-30681.0</v>
      </c>
      <c r="R25" s="54">
        <v>-30681.0</v>
      </c>
      <c r="S25" s="54">
        <v>-30681.0</v>
      </c>
      <c r="T25" s="54">
        <v>-30681.0</v>
      </c>
      <c r="U25" s="54">
        <v>-30681.0</v>
      </c>
      <c r="V25" s="54">
        <v>-30681.0</v>
      </c>
      <c r="W25" s="54">
        <v>-30681.0</v>
      </c>
      <c r="X25" s="54">
        <v>-30681.0</v>
      </c>
      <c r="Y25" s="54">
        <v>-30681.0</v>
      </c>
    </row>
    <row r="26" spans="1:25" ht="16" outlineLevel="2">
      <c r="A26" s="41" t="s">
        <v>23</v>
      </c>
      <c r="B26" s="54">
        <v>32978.0</v>
      </c>
      <c r="C26" s="54">
        <v>32978.0</v>
      </c>
      <c r="D26" s="54">
        <v>32978.0</v>
      </c>
      <c r="E26" s="54">
        <v>32978.0</v>
      </c>
      <c r="F26" s="54">
        <v>32978.0</v>
      </c>
      <c r="G26" s="54">
        <v>32978.0</v>
      </c>
      <c r="H26" s="54">
        <v>32978.0</v>
      </c>
      <c r="I26" s="54">
        <v>32978.0</v>
      </c>
      <c r="J26" s="54">
        <v>32978.0</v>
      </c>
      <c r="K26" s="54">
        <v>32978.0</v>
      </c>
      <c r="L26" s="54">
        <v>32978.0</v>
      </c>
      <c r="M26" s="54">
        <v>32978.0</v>
      </c>
      <c r="N26" s="54">
        <v>32978.0</v>
      </c>
      <c r="O26" s="54">
        <v>32978.0</v>
      </c>
      <c r="P26" s="54">
        <v>32978.0</v>
      </c>
      <c r="Q26" s="54">
        <v>32978.0</v>
      </c>
      <c r="R26" s="54">
        <v>32978.0</v>
      </c>
      <c r="S26" s="54">
        <v>32978.0</v>
      </c>
      <c r="T26" s="54">
        <v>32978.0</v>
      </c>
      <c r="U26" s="54">
        <v>32978.0</v>
      </c>
      <c r="V26" s="54">
        <v>32978.0</v>
      </c>
      <c r="W26" s="54">
        <v>32978.0</v>
      </c>
      <c r="X26" s="54">
        <v>32978.0</v>
      </c>
      <c r="Y26" s="54">
        <v>32978.0</v>
      </c>
    </row>
    <row r="27" spans="1:25" ht="16" outlineLevel="1">
      <c r="A27" s="44" t="s">
        <v>24</v>
      </c>
      <c r="B27" s="55">
        <f>B24+B25+B26</f>
        <v>3829.0</v>
      </c>
      <c r="C27" s="55">
        <f>C24+C25+C26</f>
        <v>3829.0</v>
      </c>
      <c r="D27" s="55">
        <f>D24+D25+D26</f>
        <v>3829.0</v>
      </c>
      <c r="E27" s="55">
        <f>E24+E25+E26</f>
        <v>3829.0</v>
      </c>
      <c r="F27" s="55">
        <f>F24+F25+F26</f>
        <v>3829.0</v>
      </c>
      <c r="G27" s="55">
        <f>G24+G25+G26</f>
        <v>3829.0</v>
      </c>
      <c r="H27" s="55">
        <f>H24+H25+H26</f>
        <v>3829.0</v>
      </c>
      <c r="I27" s="55">
        <f>I24+I25+I26</f>
        <v>3829.0</v>
      </c>
      <c r="J27" s="55">
        <f>J24+J25+J26</f>
        <v>3829.0</v>
      </c>
      <c r="K27" s="55">
        <f>K24+K25+K26</f>
        <v>3829.0</v>
      </c>
      <c r="L27" s="55">
        <f>L24+L25+L26</f>
        <v>3829.0</v>
      </c>
      <c r="M27" s="55">
        <f>M24+M25+M26</f>
        <v>2297.0</v>
      </c>
      <c r="N27" s="55">
        <f>N24+N25+N26</f>
        <v>2297.0</v>
      </c>
      <c r="O27" s="55">
        <f>O24+O25+O26</f>
        <v>2297.0</v>
      </c>
      <c r="P27" s="55">
        <f>P24+P25+P26</f>
        <v>2297.0</v>
      </c>
      <c r="Q27" s="55">
        <f>Q24+Q25+Q26</f>
        <v>2297.0</v>
      </c>
      <c r="R27" s="55">
        <f>R24+R25+R26</f>
        <v>2297.0</v>
      </c>
      <c r="S27" s="55">
        <f>S24+S25+S26</f>
        <v>2297.0</v>
      </c>
      <c r="T27" s="55">
        <f>T24+T25+T26</f>
        <v>2297.0</v>
      </c>
      <c r="U27" s="55">
        <f>U24+U25+U26</f>
        <v>2297.0</v>
      </c>
      <c r="V27" s="55">
        <f>V24+V25+V26</f>
        <v>2297.0</v>
      </c>
      <c r="W27" s="55">
        <f>W24+W25+W26</f>
        <v>2297.0</v>
      </c>
      <c r="X27" s="55">
        <f>X24+X25+X26</f>
        <v>2297.0</v>
      </c>
      <c r="Y27" s="55">
        <f>Y24+Y25+Y26</f>
        <v>2297.0</v>
      </c>
    </row>
    <row r="28" spans="1:25" ht="16">
      <c r="A28" s="45" t="s">
        <v>25</v>
      </c>
      <c r="B28" s="55">
        <f>B23+B27</f>
        <v>2383705.91</v>
      </c>
      <c r="C28" s="55">
        <f>C23+C27</f>
        <v>2542692.82</v>
      </c>
      <c r="D28" s="55">
        <f>D23+D27</f>
        <v>2417337.44</v>
      </c>
      <c r="E28" s="55">
        <f>E23+E27</f>
        <v>2335874.89</v>
      </c>
      <c r="F28" s="55">
        <f>F23+F27</f>
        <v>3547235.3000000003</v>
      </c>
      <c r="G28" s="55">
        <f>G23+G27</f>
        <v>3568393.96</v>
      </c>
      <c r="H28" s="55">
        <f>H23+H27</f>
        <v>3433106.8600000003</v>
      </c>
      <c r="I28" s="55">
        <f>I23+I27</f>
        <v>3198967.95</v>
      </c>
      <c r="J28" s="55">
        <f>J23+J27</f>
        <v>3221880.8200000003</v>
      </c>
      <c r="K28" s="55">
        <f>K23+K27</f>
        <v>3287444.5600000005</v>
      </c>
      <c r="L28" s="55">
        <f>L23+L27</f>
        <v>3234129.5600000005</v>
      </c>
      <c r="M28" s="55">
        <f>M23+M27</f>
        <v>2766473.4600000004</v>
      </c>
      <c r="N28" s="55">
        <f>N23+N27</f>
        <v>2768640.9000000004</v>
      </c>
      <c r="O28" s="55">
        <f>O23+O27</f>
        <v>3505546.9200000004</v>
      </c>
      <c r="P28" s="55">
        <f>P23+P27</f>
        <v>3681636.72</v>
      </c>
      <c r="Q28" s="55">
        <f>Q23+Q27</f>
        <v>3157507.84</v>
      </c>
      <c r="R28" s="55">
        <f>R23+R27</f>
        <v>3718733.27</v>
      </c>
      <c r="S28" s="55">
        <f>S23+S27</f>
        <v>4714605.2700000005</v>
      </c>
      <c r="T28" s="55">
        <f>T23+T27</f>
        <v>4385720.81</v>
      </c>
      <c r="U28" s="55">
        <f>U23+U27</f>
        <v>4807038.63</v>
      </c>
      <c r="V28" s="55">
        <f>V23+V27</f>
        <v>5207684.62</v>
      </c>
      <c r="W28" s="55">
        <f>W23+W27</f>
        <v>6120107.26</v>
      </c>
      <c r="X28" s="55">
        <f>X23+X27</f>
        <v>6010370.5600000005</v>
      </c>
      <c r="Y28" s="55">
        <f>Y23+Y27</f>
        <v>6525719.97</v>
      </c>
    </row>
    <row r="29" spans="1:25" ht="16">
      <c r="A29" s="39" t="s">
        <v>26</v>
      </c>
      <c r="B29" s="53"/>
      <c r="C29" s="53"/>
      <c r="D29" s="53"/>
      <c r="E29" s="53"/>
      <c r="F29" s="53"/>
      <c r="G29" s="53"/>
      <c r="H29" s="53"/>
      <c r="I29" s="53"/>
      <c r="J29" s="53"/>
      <c r="K29" s="53"/>
      <c r="L29" s="53"/>
      <c r="M29" s="53"/>
      <c r="N29" s="53"/>
      <c r="O29" s="53"/>
      <c r="P29" s="53"/>
      <c r="Q29" s="53"/>
      <c r="R29" s="53"/>
      <c r="S29" s="53"/>
      <c r="T29" s="53"/>
      <c r="U29" s="53"/>
      <c r="V29" s="53"/>
      <c r="W29" s="53"/>
      <c r="X29" s="53"/>
      <c r="Y29" s="53"/>
    </row>
    <row r="30" spans="1:25" ht="16" outlineLevel="1">
      <c r="A30" s="40" t="s">
        <v>27</v>
      </c>
      <c r="B30" s="53"/>
      <c r="C30" s="53"/>
      <c r="D30" s="53"/>
      <c r="E30" s="53"/>
      <c r="F30" s="53"/>
      <c r="G30" s="53"/>
      <c r="H30" s="53"/>
      <c r="I30" s="53"/>
      <c r="J30" s="53"/>
      <c r="K30" s="53"/>
      <c r="L30" s="53"/>
      <c r="M30" s="53"/>
      <c r="N30" s="53"/>
      <c r="O30" s="53"/>
      <c r="P30" s="53"/>
      <c r="Q30" s="53"/>
      <c r="R30" s="53"/>
      <c r="S30" s="53"/>
      <c r="T30" s="53"/>
      <c r="U30" s="53"/>
      <c r="V30" s="53"/>
      <c r="W30" s="53"/>
      <c r="X30" s="53"/>
      <c r="Y30" s="53"/>
    </row>
    <row r="31" spans="1:25" ht="16" outlineLevel="2">
      <c r="A31" s="41" t="s">
        <v>28</v>
      </c>
      <c r="B31" s="53"/>
      <c r="C31" s="53"/>
      <c r="D31" s="53"/>
      <c r="E31" s="53"/>
      <c r="F31" s="53"/>
      <c r="G31" s="53"/>
      <c r="H31" s="53"/>
      <c r="I31" s="53"/>
      <c r="J31" s="53"/>
      <c r="K31" s="53"/>
      <c r="L31" s="53"/>
      <c r="M31" s="53"/>
      <c r="N31" s="53"/>
      <c r="O31" s="53"/>
      <c r="P31" s="53"/>
      <c r="Q31" s="53"/>
      <c r="R31" s="53"/>
      <c r="S31" s="53"/>
      <c r="T31" s="53"/>
      <c r="U31" s="53"/>
      <c r="V31" s="53"/>
      <c r="W31" s="53"/>
      <c r="X31" s="53"/>
      <c r="Y31" s="53"/>
    </row>
    <row r="32" spans="1:25" ht="16" outlineLevel="3">
      <c r="A32" s="42" t="s">
        <v>29</v>
      </c>
      <c r="B32" s="53"/>
      <c r="C32" s="53"/>
      <c r="D32" s="53"/>
      <c r="E32" s="53"/>
      <c r="F32" s="53"/>
      <c r="G32" s="53"/>
      <c r="H32" s="53"/>
      <c r="I32" s="53"/>
      <c r="J32" s="53"/>
      <c r="K32" s="53"/>
      <c r="L32" s="53"/>
      <c r="M32" s="53"/>
      <c r="N32" s="53"/>
      <c r="O32" s="53"/>
      <c r="P32" s="53"/>
      <c r="Q32" s="53"/>
      <c r="R32" s="53"/>
      <c r="S32" s="53"/>
      <c r="T32" s="53"/>
      <c r="U32" s="53"/>
      <c r="V32" s="53"/>
      <c r="W32" s="53"/>
      <c r="X32" s="53"/>
      <c r="Y32" s="53"/>
    </row>
    <row r="33" spans="1:25" ht="16" outlineLevel="4">
      <c r="A33" s="46" t="s">
        <v>30</v>
      </c>
      <c r="B33" s="54">
        <v>0</v>
      </c>
      <c r="C33" s="54">
        <v>21.67</v>
      </c>
      <c r="D33" s="54">
        <v>0</v>
      </c>
      <c r="E33" s="54">
        <v>0</v>
      </c>
      <c r="F33" s="54">
        <v>50.35</v>
      </c>
      <c r="G33" s="54">
        <v>218.07999999999998</v>
      </c>
      <c r="H33" s="54">
        <v>65.66</v>
      </c>
      <c r="I33" s="54">
        <v>0</v>
      </c>
      <c r="J33" s="54">
        <v>-137.52</v>
      </c>
      <c r="K33" s="54">
        <v>-173.52</v>
      </c>
      <c r="L33" s="54">
        <v>-41.43000000000001</v>
      </c>
      <c r="M33" s="54">
        <v>-108.65</v>
      </c>
      <c r="N33" s="54">
        <v>-72.74000000000001</v>
      </c>
      <c r="O33" s="54">
        <v>-72.74000000000001</v>
      </c>
      <c r="P33" s="54">
        <v>-72.74000000000001</v>
      </c>
      <c r="Q33" s="54">
        <v>111.60999999999999</v>
      </c>
      <c r="R33" s="54">
        <v>-1.4210854715202004E-14</v>
      </c>
      <c r="S33" s="54">
        <v>-1.4210854715202004E-14</v>
      </c>
      <c r="T33" s="54">
        <v>-1.4210854715202004E-14</v>
      </c>
      <c r="U33" s="54">
        <v>-1.4210854715202004E-14</v>
      </c>
      <c r="V33" s="54">
        <v>-1.4210854715202004E-14</v>
      </c>
      <c r="W33" s="54">
        <v>26.329999999999984</v>
      </c>
      <c r="X33" s="54">
        <v>469.68</v>
      </c>
      <c r="Y33" s="54">
        <v>294.09000000000003</v>
      </c>
    </row>
    <row r="34" spans="1:25" ht="16" outlineLevel="4">
      <c r="A34" s="46" t="s">
        <v>31</v>
      </c>
      <c r="B34" s="54">
        <v>0</v>
      </c>
      <c r="C34" s="54">
        <v>0</v>
      </c>
      <c r="D34" s="54">
        <v>0</v>
      </c>
      <c r="E34" s="54">
        <v>0</v>
      </c>
      <c r="F34" s="54">
        <v>0</v>
      </c>
      <c r="G34" s="54">
        <v>0</v>
      </c>
      <c r="H34" s="54">
        <v>0</v>
      </c>
      <c r="I34" s="54">
        <v>0</v>
      </c>
      <c r="J34" s="54">
        <v>0</v>
      </c>
      <c r="K34" s="54">
        <v>0</v>
      </c>
      <c r="L34" s="54">
        <v>0</v>
      </c>
      <c r="M34" s="54">
        <v>95.0</v>
      </c>
      <c r="N34" s="54">
        <v>0</v>
      </c>
      <c r="O34" s="54">
        <v>0</v>
      </c>
      <c r="P34" s="54">
        <v>0</v>
      </c>
      <c r="Q34" s="54">
        <v>0</v>
      </c>
      <c r="R34" s="54">
        <v>0</v>
      </c>
      <c r="S34" s="54">
        <v>0</v>
      </c>
      <c r="T34" s="54">
        <v>0</v>
      </c>
      <c r="U34" s="54">
        <v>0</v>
      </c>
      <c r="V34" s="54">
        <v>0</v>
      </c>
      <c r="W34" s="54">
        <v>0</v>
      </c>
      <c r="X34" s="54">
        <v>0</v>
      </c>
      <c r="Y34" s="54">
        <v>95.0</v>
      </c>
    </row>
    <row r="35" spans="1:25" ht="16" outlineLevel="4">
      <c r="A35" s="46" t="s">
        <v>32</v>
      </c>
      <c r="B35" s="53"/>
      <c r="C35" s="53"/>
      <c r="D35" s="53"/>
      <c r="E35" s="53"/>
      <c r="F35" s="53"/>
      <c r="G35" s="53"/>
      <c r="H35" s="53"/>
      <c r="I35" s="53"/>
      <c r="J35" s="53"/>
      <c r="K35" s="53"/>
      <c r="L35" s="53"/>
      <c r="M35" s="53"/>
      <c r="N35" s="53"/>
      <c r="O35" s="53"/>
      <c r="P35" s="53"/>
      <c r="Q35" s="53"/>
      <c r="R35" s="53"/>
      <c r="S35" s="53"/>
      <c r="T35" s="53"/>
      <c r="U35" s="53"/>
      <c r="V35" s="53"/>
      <c r="W35" s="53"/>
      <c r="X35" s="53"/>
      <c r="Y35" s="53"/>
    </row>
    <row r="36" spans="1:25" ht="16" outlineLevel="5">
      <c r="A36" s="47" t="s">
        <v>33</v>
      </c>
      <c r="B36" s="54">
        <v>-128722.37</v>
      </c>
      <c r="C36" s="54">
        <v>-123644.23</v>
      </c>
      <c r="D36" s="54">
        <v>-128722.37</v>
      </c>
      <c r="E36" s="54">
        <v>-151722.37</v>
      </c>
      <c r="F36" s="54">
        <v>-211722.37</v>
      </c>
      <c r="G36" s="54">
        <v>-211722.37</v>
      </c>
      <c r="H36" s="54">
        <v>-211722.37</v>
      </c>
      <c r="I36" s="54">
        <v>-211434.37</v>
      </c>
      <c r="J36" s="54">
        <v>-211434.37</v>
      </c>
      <c r="K36" s="54">
        <v>-181558.37</v>
      </c>
      <c r="L36" s="54">
        <v>-137662.37</v>
      </c>
      <c r="M36" s="54">
        <v>-19662.369999999995</v>
      </c>
      <c r="N36" s="54">
        <v>44900.00000000001</v>
      </c>
      <c r="O36" s="54">
        <v>26000.000000000007</v>
      </c>
      <c r="P36" s="54">
        <v>750.0000000000073</v>
      </c>
      <c r="Q36" s="54">
        <v>-42304.99999999999</v>
      </c>
      <c r="R36" s="54">
        <v>-63258.99999999999</v>
      </c>
      <c r="S36" s="54">
        <v>-106294.25</v>
      </c>
      <c r="T36" s="54">
        <v>-172075.5</v>
      </c>
      <c r="U36" s="54">
        <v>-214272.13</v>
      </c>
      <c r="V36" s="54">
        <v>-227227.52000000002</v>
      </c>
      <c r="W36" s="54">
        <v>-171059.16000000003</v>
      </c>
      <c r="X36" s="54">
        <v>-161026.75000000003</v>
      </c>
      <c r="Y36" s="54">
        <v>-259106.75000000003</v>
      </c>
    </row>
    <row r="37" spans="1:25" ht="16" outlineLevel="5">
      <c r="A37" s="47" t="s">
        <v>34</v>
      </c>
      <c r="B37" s="54">
        <v>128722.37</v>
      </c>
      <c r="C37" s="54">
        <v>139722.37</v>
      </c>
      <c r="D37" s="54">
        <v>128722.37</v>
      </c>
      <c r="E37" s="54">
        <v>174722.37</v>
      </c>
      <c r="F37" s="54">
        <v>211722.37</v>
      </c>
      <c r="G37" s="54">
        <v>234722.37</v>
      </c>
      <c r="H37" s="54">
        <v>234722.37</v>
      </c>
      <c r="I37" s="54">
        <v>231722.37</v>
      </c>
      <c r="J37" s="54">
        <v>286434.37</v>
      </c>
      <c r="K37" s="54">
        <v>206858.37</v>
      </c>
      <c r="L37" s="54">
        <v>177558.37</v>
      </c>
      <c r="M37" s="54">
        <v>19662.369999999995</v>
      </c>
      <c r="N37" s="54">
        <v>-3.637978807091713E-12</v>
      </c>
      <c r="O37" s="54">
        <v>-3.637978807091713E-12</v>
      </c>
      <c r="P37" s="54">
        <v>42981.75</v>
      </c>
      <c r="Q37" s="54">
        <v>86013.0</v>
      </c>
      <c r="R37" s="54">
        <v>129044.25</v>
      </c>
      <c r="S37" s="54">
        <v>172075.5</v>
      </c>
      <c r="T37" s="54">
        <v>215106.75</v>
      </c>
      <c r="U37" s="54">
        <v>258138.0</v>
      </c>
      <c r="V37" s="54">
        <v>258138.0</v>
      </c>
      <c r="W37" s="54">
        <v>258138.0</v>
      </c>
      <c r="X37" s="54">
        <v>258138.0</v>
      </c>
      <c r="Y37" s="54">
        <v>258138.0</v>
      </c>
    </row>
    <row r="38" spans="1:25" ht="16" outlineLevel="4">
      <c r="A38" s="48" t="s">
        <v>35</v>
      </c>
      <c r="B38" s="55">
        <f>B35+B36+B37</f>
        <v>0.0</v>
      </c>
      <c r="C38" s="55">
        <f>C35+C36+C37</f>
        <v>16078.14</v>
      </c>
      <c r="D38" s="55">
        <f>D35+D36+D37</f>
        <v>0.0</v>
      </c>
      <c r="E38" s="55">
        <f>E35+E36+E37</f>
        <v>23000.0</v>
      </c>
      <c r="F38" s="55">
        <f>F35+F36+F37</f>
        <v>0.0</v>
      </c>
      <c r="G38" s="55">
        <f>G35+G36+G37</f>
        <v>23000.0</v>
      </c>
      <c r="H38" s="55">
        <f>H35+H36+H37</f>
        <v>23000.0</v>
      </c>
      <c r="I38" s="55">
        <f>I35+I36+I37</f>
        <v>20288.0</v>
      </c>
      <c r="J38" s="55">
        <f>J35+J36+J37</f>
        <v>75000.0</v>
      </c>
      <c r="K38" s="55">
        <f>K35+K36+K37</f>
        <v>25300.0</v>
      </c>
      <c r="L38" s="55">
        <f>L35+L36+L37</f>
        <v>39896.0</v>
      </c>
      <c r="M38" s="55">
        <f>M35+M36+M37</f>
        <v>0.0</v>
      </c>
      <c r="N38" s="55">
        <f>N35+N36+N37</f>
        <v>44900.0</v>
      </c>
      <c r="O38" s="55">
        <f>O35+O36+O37</f>
        <v>26000.000000000004</v>
      </c>
      <c r="P38" s="55">
        <f>P35+P36+P37</f>
        <v>43731.75000000001</v>
      </c>
      <c r="Q38" s="55">
        <f>Q35+Q36+Q37</f>
        <v>43708.00000000001</v>
      </c>
      <c r="R38" s="55">
        <f>R35+R36+R37</f>
        <v>65785.25</v>
      </c>
      <c r="S38" s="55">
        <f>S35+S36+S37</f>
        <v>65781.25</v>
      </c>
      <c r="T38" s="55">
        <f>T35+T36+T37</f>
        <v>43031.25</v>
      </c>
      <c r="U38" s="55">
        <f>U35+U36+U37</f>
        <v>43865.869999999995</v>
      </c>
      <c r="V38" s="55">
        <f>V35+V36+V37</f>
        <v>30910.47999999998</v>
      </c>
      <c r="W38" s="55">
        <f>W35+W36+W37</f>
        <v>87078.83999999997</v>
      </c>
      <c r="X38" s="55">
        <f>X35+X36+X37</f>
        <v>97111.24999999997</v>
      </c>
      <c r="Y38" s="55">
        <f>Y35+Y36+Y37</f>
        <v>-968.7500000000291</v>
      </c>
    </row>
    <row r="39" spans="1:25" ht="16" outlineLevel="4">
      <c r="A39" s="46" t="s">
        <v>36</v>
      </c>
      <c r="B39" s="54">
        <v>-1470.62</v>
      </c>
      <c r="C39" s="54">
        <v>-1470.62</v>
      </c>
      <c r="D39" s="54">
        <v>-1470.62</v>
      </c>
      <c r="E39" s="54">
        <v>-1470.62</v>
      </c>
      <c r="F39" s="54">
        <v>-1470.62</v>
      </c>
      <c r="G39" s="54">
        <v>-1470.62</v>
      </c>
      <c r="H39" s="54">
        <v>-1470.62</v>
      </c>
      <c r="I39" s="54">
        <v>-1470.62</v>
      </c>
      <c r="J39" s="54">
        <v>-1470.62</v>
      </c>
      <c r="K39" s="54">
        <v>-1470.62</v>
      </c>
      <c r="L39" s="54">
        <v>-1470.62</v>
      </c>
      <c r="M39" s="54">
        <v>0</v>
      </c>
      <c r="N39" s="54">
        <v>0</v>
      </c>
      <c r="O39" s="54">
        <v>0</v>
      </c>
      <c r="P39" s="54">
        <v>0</v>
      </c>
      <c r="Q39" s="54">
        <v>0</v>
      </c>
      <c r="R39" s="54">
        <v>0</v>
      </c>
      <c r="S39" s="54">
        <v>0</v>
      </c>
      <c r="T39" s="54">
        <v>0</v>
      </c>
      <c r="U39" s="54">
        <v>0</v>
      </c>
      <c r="V39" s="54">
        <v>0</v>
      </c>
      <c r="W39" s="54">
        <v>0</v>
      </c>
      <c r="X39" s="54">
        <v>0</v>
      </c>
      <c r="Y39" s="54">
        <v>0</v>
      </c>
    </row>
    <row r="40" spans="1:25" ht="16" outlineLevel="5">
      <c r="A40" s="47" t="s">
        <v>37</v>
      </c>
      <c r="B40" s="54">
        <v>1470.62</v>
      </c>
      <c r="C40" s="54">
        <v>1470.62</v>
      </c>
      <c r="D40" s="54">
        <v>1470.62</v>
      </c>
      <c r="E40" s="54">
        <v>1470.62</v>
      </c>
      <c r="F40" s="54">
        <v>1470.62</v>
      </c>
      <c r="G40" s="54">
        <v>1470.62</v>
      </c>
      <c r="H40" s="54">
        <v>1470.62</v>
      </c>
      <c r="I40" s="54">
        <v>1470.62</v>
      </c>
      <c r="J40" s="54">
        <v>1470.62</v>
      </c>
      <c r="K40" s="54">
        <v>1470.62</v>
      </c>
      <c r="L40" s="54">
        <v>1470.62</v>
      </c>
      <c r="M40" s="54">
        <v>0</v>
      </c>
      <c r="N40" s="54">
        <v>0</v>
      </c>
      <c r="O40" s="54">
        <v>0</v>
      </c>
      <c r="P40" s="54">
        <v>0</v>
      </c>
      <c r="Q40" s="54">
        <v>0</v>
      </c>
      <c r="R40" s="54">
        <v>0</v>
      </c>
      <c r="S40" s="54">
        <v>0</v>
      </c>
      <c r="T40" s="54">
        <v>0</v>
      </c>
      <c r="U40" s="54">
        <v>0</v>
      </c>
      <c r="V40" s="54">
        <v>0</v>
      </c>
      <c r="W40" s="54">
        <v>0</v>
      </c>
      <c r="X40" s="54">
        <v>0</v>
      </c>
      <c r="Y40" s="54">
        <v>0</v>
      </c>
    </row>
    <row r="41" spans="1:25" ht="16" outlineLevel="4">
      <c r="A41" s="48" t="s">
        <v>38</v>
      </c>
      <c r="B41" s="55">
        <f>B39+B40</f>
        <v>0.0</v>
      </c>
      <c r="C41" s="55">
        <f>C39+C40</f>
        <v>0.0</v>
      </c>
      <c r="D41" s="55">
        <f>D39+D40</f>
        <v>0.0</v>
      </c>
      <c r="E41" s="55">
        <f>E39+E40</f>
        <v>0.0</v>
      </c>
      <c r="F41" s="55">
        <f>F39+F40</f>
        <v>0.0</v>
      </c>
      <c r="G41" s="55">
        <f>G39+G40</f>
        <v>0.0</v>
      </c>
      <c r="H41" s="55">
        <f>H39+H40</f>
        <v>0.0</v>
      </c>
      <c r="I41" s="55">
        <f>I39+I40</f>
        <v>0.0</v>
      </c>
      <c r="J41" s="55">
        <f>J39+J40</f>
        <v>0.0</v>
      </c>
      <c r="K41" s="55">
        <f>K39+K40</f>
        <v>0.0</v>
      </c>
      <c r="L41" s="55">
        <f>L39+L40</f>
        <v>0.0</v>
      </c>
      <c r="M41" s="55">
        <f>M39+M40</f>
        <v>0.0</v>
      </c>
      <c r="N41" s="55">
        <f>N39+N40</f>
        <v>0.0</v>
      </c>
      <c r="O41" s="55">
        <f>O39+O40</f>
        <v>0.0</v>
      </c>
      <c r="P41" s="55">
        <f>P39+P40</f>
        <v>0.0</v>
      </c>
      <c r="Q41" s="55">
        <f>Q39+Q40</f>
        <v>0.0</v>
      </c>
      <c r="R41" s="55">
        <f>R39+R40</f>
        <v>0.0</v>
      </c>
      <c r="S41" s="55">
        <f>S39+S40</f>
        <v>0.0</v>
      </c>
      <c r="T41" s="55">
        <f>T39+T40</f>
        <v>0.0</v>
      </c>
      <c r="U41" s="55">
        <f>U39+U40</f>
        <v>0.0</v>
      </c>
      <c r="V41" s="55">
        <f>V39+V40</f>
        <v>0.0</v>
      </c>
      <c r="W41" s="55">
        <f>W39+W40</f>
        <v>0.0</v>
      </c>
      <c r="X41" s="55">
        <f>X39+X40</f>
        <v>0.0</v>
      </c>
      <c r="Y41" s="55">
        <f>Y39+Y40</f>
        <v>0.0</v>
      </c>
    </row>
    <row r="42" spans="1:25" ht="16" outlineLevel="4">
      <c r="A42" s="46" t="s">
        <v>39</v>
      </c>
      <c r="B42" s="53"/>
      <c r="C42" s="53"/>
      <c r="D42" s="53"/>
      <c r="E42" s="53"/>
      <c r="F42" s="53"/>
      <c r="G42" s="53"/>
      <c r="H42" s="53"/>
      <c r="I42" s="53"/>
      <c r="J42" s="53"/>
      <c r="K42" s="53"/>
      <c r="L42" s="53"/>
      <c r="M42" s="53"/>
      <c r="N42" s="53"/>
      <c r="O42" s="53"/>
      <c r="P42" s="53"/>
      <c r="Q42" s="53"/>
      <c r="R42" s="53"/>
      <c r="S42" s="53"/>
      <c r="T42" s="53"/>
      <c r="U42" s="53"/>
      <c r="V42" s="53"/>
      <c r="W42" s="53"/>
      <c r="X42" s="53"/>
      <c r="Y42" s="53"/>
    </row>
    <row r="43" spans="1:25" ht="16" outlineLevel="5">
      <c r="A43" s="47" t="s">
        <v>40</v>
      </c>
      <c r="B43" s="54">
        <v>100.0</v>
      </c>
      <c r="C43" s="54">
        <v>100.0</v>
      </c>
      <c r="D43" s="54">
        <v>100.0</v>
      </c>
      <c r="E43" s="54">
        <v>100.0</v>
      </c>
      <c r="F43" s="54">
        <v>100.0</v>
      </c>
      <c r="G43" s="54">
        <v>100.0</v>
      </c>
      <c r="H43" s="54">
        <v>100.0</v>
      </c>
      <c r="I43" s="54">
        <v>100.0</v>
      </c>
      <c r="J43" s="54">
        <v>100.0</v>
      </c>
      <c r="K43" s="54">
        <v>100.0</v>
      </c>
      <c r="L43" s="54">
        <v>100.0</v>
      </c>
      <c r="M43" s="54">
        <v>0</v>
      </c>
      <c r="N43" s="54">
        <v>0</v>
      </c>
      <c r="O43" s="54">
        <v>0</v>
      </c>
      <c r="P43" s="54">
        <v>0</v>
      </c>
      <c r="Q43" s="54">
        <v>0</v>
      </c>
      <c r="R43" s="54">
        <v>0</v>
      </c>
      <c r="S43" s="54">
        <v>0</v>
      </c>
      <c r="T43" s="54">
        <v>0</v>
      </c>
      <c r="U43" s="54">
        <v>0</v>
      </c>
      <c r="V43" s="54">
        <v>0</v>
      </c>
      <c r="W43" s="54">
        <v>0</v>
      </c>
      <c r="X43" s="54">
        <v>0</v>
      </c>
      <c r="Y43" s="54">
        <v>0</v>
      </c>
    </row>
    <row r="44" spans="1:25" ht="16" outlineLevel="5">
      <c r="A44" s="47" t="s">
        <v>41</v>
      </c>
      <c r="B44" s="54">
        <v>-100.0</v>
      </c>
      <c r="C44" s="54">
        <v>-100.0</v>
      </c>
      <c r="D44" s="54">
        <v>-100.0</v>
      </c>
      <c r="E44" s="54">
        <v>-100.0</v>
      </c>
      <c r="F44" s="54">
        <v>-100.0</v>
      </c>
      <c r="G44" s="54">
        <v>-100.0</v>
      </c>
      <c r="H44" s="54">
        <v>-100.0</v>
      </c>
      <c r="I44" s="54">
        <v>-100.0</v>
      </c>
      <c r="J44" s="54">
        <v>-100.0</v>
      </c>
      <c r="K44" s="54">
        <v>-100.0</v>
      </c>
      <c r="L44" s="54">
        <v>-100.0</v>
      </c>
      <c r="M44" s="54">
        <v>0</v>
      </c>
      <c r="N44" s="54">
        <v>0</v>
      </c>
      <c r="O44" s="54">
        <v>0</v>
      </c>
      <c r="P44" s="54">
        <v>0</v>
      </c>
      <c r="Q44" s="54">
        <v>0</v>
      </c>
      <c r="R44" s="54">
        <v>0</v>
      </c>
      <c r="S44" s="54">
        <v>0</v>
      </c>
      <c r="T44" s="54">
        <v>0</v>
      </c>
      <c r="U44" s="54">
        <v>0</v>
      </c>
      <c r="V44" s="54">
        <v>0</v>
      </c>
      <c r="W44" s="54">
        <v>0</v>
      </c>
      <c r="X44" s="54">
        <v>0</v>
      </c>
      <c r="Y44" s="54">
        <v>0</v>
      </c>
    </row>
    <row r="45" spans="1:25" ht="16" outlineLevel="4">
      <c r="A45" s="48" t="s">
        <v>42</v>
      </c>
      <c r="B45" s="55">
        <f>B42+B43+B44</f>
        <v>0.0</v>
      </c>
      <c r="C45" s="55">
        <f>C42+C43+C44</f>
        <v>0.0</v>
      </c>
      <c r="D45" s="55">
        <f>D42+D43+D44</f>
        <v>0.0</v>
      </c>
      <c r="E45" s="55">
        <f>E42+E43+E44</f>
        <v>0.0</v>
      </c>
      <c r="F45" s="55">
        <f>F42+F43+F44</f>
        <v>0.0</v>
      </c>
      <c r="G45" s="55">
        <f>G42+G43+G44</f>
        <v>0.0</v>
      </c>
      <c r="H45" s="55">
        <f>H42+H43+H44</f>
        <v>0.0</v>
      </c>
      <c r="I45" s="55">
        <f>I42+I43+I44</f>
        <v>0.0</v>
      </c>
      <c r="J45" s="55">
        <f>J42+J43+J44</f>
        <v>0.0</v>
      </c>
      <c r="K45" s="55">
        <f>K42+K43+K44</f>
        <v>0.0</v>
      </c>
      <c r="L45" s="55">
        <f>L42+L43+L44</f>
        <v>0.0</v>
      </c>
      <c r="M45" s="55">
        <f>M42+M43+M44</f>
        <v>0.0</v>
      </c>
      <c r="N45" s="55">
        <f>N42+N43+N44</f>
        <v>0.0</v>
      </c>
      <c r="O45" s="55">
        <f>O42+O43+O44</f>
        <v>0.0</v>
      </c>
      <c r="P45" s="55">
        <f>P42+P43+P44</f>
        <v>0.0</v>
      </c>
      <c r="Q45" s="55">
        <f>Q42+Q43+Q44</f>
        <v>0.0</v>
      </c>
      <c r="R45" s="55">
        <f>R42+R43+R44</f>
        <v>0.0</v>
      </c>
      <c r="S45" s="55">
        <f>S42+S43+S44</f>
        <v>0.0</v>
      </c>
      <c r="T45" s="55">
        <f>T42+T43+T44</f>
        <v>0.0</v>
      </c>
      <c r="U45" s="55">
        <f>U42+U43+U44</f>
        <v>0.0</v>
      </c>
      <c r="V45" s="55">
        <f>V42+V43+V44</f>
        <v>0.0</v>
      </c>
      <c r="W45" s="55">
        <f>W42+W43+W44</f>
        <v>0.0</v>
      </c>
      <c r="X45" s="55">
        <f>X42+X43+X44</f>
        <v>0.0</v>
      </c>
      <c r="Y45" s="55">
        <f>Y42+Y43+Y44</f>
        <v>0.0</v>
      </c>
    </row>
    <row r="46" spans="1:25" ht="16" outlineLevel="4">
      <c r="A46" s="46" t="s">
        <v>43</v>
      </c>
      <c r="B46" s="54">
        <v>0</v>
      </c>
      <c r="C46" s="54">
        <v>0</v>
      </c>
      <c r="D46" s="54">
        <v>0</v>
      </c>
      <c r="E46" s="54">
        <v>0</v>
      </c>
      <c r="F46" s="54">
        <v>0</v>
      </c>
      <c r="G46" s="54">
        <v>0</v>
      </c>
      <c r="H46" s="54">
        <v>0</v>
      </c>
      <c r="I46" s="54">
        <v>0</v>
      </c>
      <c r="J46" s="54">
        <v>0</v>
      </c>
      <c r="K46" s="54">
        <v>0</v>
      </c>
      <c r="L46" s="54">
        <v>0</v>
      </c>
      <c r="M46" s="54">
        <v>0</v>
      </c>
      <c r="N46" s="54">
        <v>0</v>
      </c>
      <c r="O46" s="54">
        <v>0</v>
      </c>
      <c r="P46" s="54">
        <v>0</v>
      </c>
      <c r="Q46" s="54">
        <v>0</v>
      </c>
      <c r="R46" s="54">
        <v>0</v>
      </c>
      <c r="S46" s="54">
        <v>0</v>
      </c>
      <c r="T46" s="54">
        <v>0</v>
      </c>
      <c r="U46" s="54">
        <v>0</v>
      </c>
      <c r="V46" s="54">
        <v>0</v>
      </c>
      <c r="W46" s="54">
        <v>0</v>
      </c>
      <c r="X46" s="54">
        <v>0</v>
      </c>
      <c r="Y46" s="54">
        <v>0</v>
      </c>
    </row>
    <row r="47" spans="1:25" ht="16" outlineLevel="5">
      <c r="A47" s="47" t="s">
        <v>44</v>
      </c>
      <c r="B47" s="54">
        <v>119142.1</v>
      </c>
      <c r="C47" s="54">
        <v>119051.91</v>
      </c>
      <c r="D47" s="54">
        <v>141134.58000000002</v>
      </c>
      <c r="E47" s="54">
        <v>147590.68000000002</v>
      </c>
      <c r="F47" s="54">
        <v>157272.72000000003</v>
      </c>
      <c r="G47" s="54">
        <v>170083.06000000003</v>
      </c>
      <c r="H47" s="54">
        <v>180351.94000000003</v>
      </c>
      <c r="I47" s="54">
        <v>190972.42000000004</v>
      </c>
      <c r="J47" s="54">
        <v>206854.66000000003</v>
      </c>
      <c r="K47" s="54">
        <v>229835.41000000003</v>
      </c>
      <c r="L47" s="54">
        <v>241485.63000000003</v>
      </c>
      <c r="M47" s="54">
        <v>253788.70000000004</v>
      </c>
      <c r="N47" s="54">
        <v>266862.24000000005</v>
      </c>
      <c r="O47" s="54">
        <v>283397.84</v>
      </c>
      <c r="P47" s="54">
        <v>318043.15</v>
      </c>
      <c r="Q47" s="54">
        <v>335157.13</v>
      </c>
      <c r="R47" s="54">
        <v>345620.92</v>
      </c>
      <c r="S47" s="54">
        <v>361427.54</v>
      </c>
      <c r="T47" s="54">
        <v>375084.01999999996</v>
      </c>
      <c r="U47" s="54">
        <v>379554.31999999995</v>
      </c>
      <c r="V47" s="54">
        <v>384303.48999999993</v>
      </c>
      <c r="W47" s="54">
        <v>384303.48999999993</v>
      </c>
      <c r="X47" s="54">
        <v>384303.48999999993</v>
      </c>
      <c r="Y47" s="54">
        <v>384303.48999999993</v>
      </c>
    </row>
    <row r="48" spans="1:25" ht="16" outlineLevel="5">
      <c r="A48" s="47" t="s">
        <v>45</v>
      </c>
      <c r="B48" s="54">
        <v>-102445.35</v>
      </c>
      <c r="C48" s="54">
        <v>-101919.43000000001</v>
      </c>
      <c r="D48" s="54">
        <v>-109372.62000000001</v>
      </c>
      <c r="E48" s="54">
        <v>-129155.90000000001</v>
      </c>
      <c r="F48" s="54">
        <v>-142798.59</v>
      </c>
      <c r="G48" s="54">
        <v>-145745.98</v>
      </c>
      <c r="H48" s="54">
        <v>-163702.96000000002</v>
      </c>
      <c r="I48" s="54">
        <v>-174745.74000000002</v>
      </c>
      <c r="J48" s="54">
        <v>-187403.96000000002</v>
      </c>
      <c r="K48" s="54">
        <v>-199297.78000000003</v>
      </c>
      <c r="L48" s="54">
        <v>-220660.68000000002</v>
      </c>
      <c r="M48" s="54">
        <v>-253187.91000000003</v>
      </c>
      <c r="N48" s="54">
        <v>-249666.21000000002</v>
      </c>
      <c r="O48" s="54">
        <v>-261553.55000000002</v>
      </c>
      <c r="P48" s="54">
        <v>-268391.15</v>
      </c>
      <c r="Q48" s="54">
        <v>-299846.60000000003</v>
      </c>
      <c r="R48" s="54">
        <v>-319857.81000000006</v>
      </c>
      <c r="S48" s="54">
        <v>-330142.22000000003</v>
      </c>
      <c r="T48" s="54">
        <v>-358505.67000000004</v>
      </c>
      <c r="U48" s="54">
        <v>-366603.09</v>
      </c>
      <c r="V48" s="54">
        <v>-384062.96</v>
      </c>
      <c r="W48" s="54">
        <v>-384303.49000000005</v>
      </c>
      <c r="X48" s="54">
        <v>-384303.49000000005</v>
      </c>
      <c r="Y48" s="54">
        <v>-384303.49000000005</v>
      </c>
    </row>
    <row r="49" spans="1:25" ht="16" outlineLevel="4">
      <c r="A49" s="48" t="s">
        <v>46</v>
      </c>
      <c r="B49" s="55">
        <f>B46+B47+B48</f>
        <v>16696.75</v>
      </c>
      <c r="C49" s="55">
        <f>C46+C47+C48</f>
        <v>17132.479999999996</v>
      </c>
      <c r="D49" s="55">
        <f>D46+D47+D48</f>
        <v>31761.960000000006</v>
      </c>
      <c r="E49" s="55">
        <f>E46+E47+E48</f>
        <v>18434.780000000013</v>
      </c>
      <c r="F49" s="55">
        <f>F46+F47+F48</f>
        <v>14474.130000000034</v>
      </c>
      <c r="G49" s="55">
        <f>G46+G47+G48</f>
        <v>24337.080000000016</v>
      </c>
      <c r="H49" s="55">
        <f>H46+H47+H48</f>
        <v>16648.98000000001</v>
      </c>
      <c r="I49" s="55">
        <f>I46+I47+I48</f>
        <v>16226.680000000022</v>
      </c>
      <c r="J49" s="55">
        <f>J46+J47+J48</f>
        <v>19450.70000000001</v>
      </c>
      <c r="K49" s="55">
        <f>K46+K47+K48</f>
        <v>30537.630000000005</v>
      </c>
      <c r="L49" s="55">
        <f>L46+L47+L48</f>
        <v>20824.95000000001</v>
      </c>
      <c r="M49" s="55">
        <f>M46+M47+M48</f>
        <v>600.7900000000081</v>
      </c>
      <c r="N49" s="55">
        <f>N46+N47+N48</f>
        <v>17196.030000000028</v>
      </c>
      <c r="O49" s="55">
        <f>O46+O47+O48</f>
        <v>21844.290000000008</v>
      </c>
      <c r="P49" s="55">
        <f>P46+P47+P48</f>
        <v>49652.0</v>
      </c>
      <c r="Q49" s="55">
        <f>Q46+Q47+Q48</f>
        <v>35310.52999999997</v>
      </c>
      <c r="R49" s="55">
        <f>R46+R47+R48</f>
        <v>25763.109999999928</v>
      </c>
      <c r="S49" s="55">
        <f>S46+S47+S48</f>
        <v>31285.31999999995</v>
      </c>
      <c r="T49" s="55">
        <f>T46+T47+T48</f>
        <v>16578.34999999992</v>
      </c>
      <c r="U49" s="55">
        <f>U46+U47+U48</f>
        <v>12951.229999999923</v>
      </c>
      <c r="V49" s="55">
        <f>V46+V47+V48</f>
        <v>240.52999999991152</v>
      </c>
      <c r="W49" s="55">
        <v>-1.1641532182693481E-10</v>
      </c>
      <c r="X49" s="55">
        <v>-1.1641532182693481E-10</v>
      </c>
      <c r="Y49" s="55">
        <v>-1.1641532182693481E-10</v>
      </c>
    </row>
    <row r="50" spans="1:25" ht="16" outlineLevel="4">
      <c r="A50" s="46" t="s">
        <v>47</v>
      </c>
      <c r="B50" s="53"/>
      <c r="C50" s="53"/>
      <c r="D50" s="53"/>
      <c r="E50" s="53"/>
      <c r="F50" s="53"/>
      <c r="G50" s="53"/>
      <c r="H50" s="53"/>
      <c r="I50" s="53"/>
      <c r="J50" s="53"/>
      <c r="K50" s="53"/>
      <c r="L50" s="53"/>
      <c r="M50" s="53"/>
      <c r="N50" s="53"/>
      <c r="O50" s="53"/>
      <c r="P50" s="53"/>
      <c r="Q50" s="53"/>
      <c r="R50" s="53"/>
      <c r="S50" s="53"/>
      <c r="T50" s="53"/>
      <c r="U50" s="53"/>
      <c r="V50" s="53"/>
      <c r="W50" s="53"/>
      <c r="X50" s="53"/>
      <c r="Y50" s="53"/>
    </row>
    <row r="51" spans="1:25" ht="16" outlineLevel="5">
      <c r="A51" s="47" t="s">
        <v>48</v>
      </c>
      <c r="B51" s="53"/>
      <c r="C51" s="53"/>
      <c r="D51" s="53"/>
      <c r="E51" s="53"/>
      <c r="F51" s="53"/>
      <c r="G51" s="53"/>
      <c r="H51" s="53"/>
      <c r="I51" s="53"/>
      <c r="J51" s="53"/>
      <c r="K51" s="53"/>
      <c r="L51" s="53"/>
      <c r="M51" s="53"/>
      <c r="N51" s="53"/>
      <c r="O51" s="53"/>
      <c r="P51" s="53"/>
      <c r="Q51" s="53"/>
      <c r="R51" s="53"/>
      <c r="S51" s="53"/>
      <c r="T51" s="54">
        <v>20024.7</v>
      </c>
      <c r="U51" s="54">
        <v>1027.9900000000016</v>
      </c>
      <c r="V51" s="54">
        <v>-80244.17</v>
      </c>
      <c r="W51" s="54">
        <v>-84728.3</v>
      </c>
      <c r="X51" s="54">
        <v>-131833.49</v>
      </c>
      <c r="Y51" s="54">
        <v>-385085.70999999996</v>
      </c>
    </row>
    <row r="52" spans="1:25" ht="16" outlineLevel="5">
      <c r="A52" s="47" t="s">
        <v>49</v>
      </c>
      <c r="B52" s="53"/>
      <c r="C52" s="53"/>
      <c r="D52" s="53"/>
      <c r="E52" s="53"/>
      <c r="F52" s="53"/>
      <c r="G52" s="53"/>
      <c r="H52" s="53"/>
      <c r="I52" s="53"/>
      <c r="J52" s="53"/>
      <c r="K52" s="53"/>
      <c r="L52" s="53"/>
      <c r="M52" s="53"/>
      <c r="N52" s="53"/>
      <c r="O52" s="53"/>
      <c r="P52" s="53"/>
      <c r="Q52" s="53"/>
      <c r="R52" s="53"/>
      <c r="S52" s="53"/>
      <c r="T52" s="54">
        <v>27386.61</v>
      </c>
      <c r="U52" s="54">
        <v>55683.59</v>
      </c>
      <c r="V52" s="54">
        <v>109134.32999999999</v>
      </c>
      <c r="W52" s="54">
        <v>144991.52999999997</v>
      </c>
      <c r="X52" s="54">
        <v>169463.30999999997</v>
      </c>
      <c r="Y52" s="54">
        <v>387543.32999999996</v>
      </c>
    </row>
    <row r="53" spans="1:25" ht="16" outlineLevel="5">
      <c r="A53" s="47" t="s">
        <v>50</v>
      </c>
      <c r="B53" s="53"/>
      <c r="C53" s="53"/>
      <c r="D53" s="53"/>
      <c r="E53" s="53"/>
      <c r="F53" s="53"/>
      <c r="G53" s="53"/>
      <c r="H53" s="53"/>
      <c r="I53" s="53"/>
      <c r="J53" s="53"/>
      <c r="K53" s="53"/>
      <c r="L53" s="53"/>
      <c r="M53" s="53"/>
      <c r="N53" s="53"/>
      <c r="O53" s="53"/>
      <c r="P53" s="53"/>
      <c r="Q53" s="53"/>
      <c r="R53" s="53"/>
      <c r="S53" s="53"/>
      <c r="T53" s="53"/>
      <c r="U53" s="54">
        <v>1362.29</v>
      </c>
      <c r="V53" s="54">
        <v>2150.93</v>
      </c>
      <c r="W53" s="54">
        <v>2913.93</v>
      </c>
      <c r="X53" s="54">
        <v>3785.93</v>
      </c>
      <c r="Y53" s="54">
        <v>4894.889999999999</v>
      </c>
    </row>
    <row r="54" spans="1:25" ht="16" outlineLevel="4">
      <c r="A54" s="48" t="s">
        <v>51</v>
      </c>
      <c r="B54" s="55"/>
      <c r="C54" s="55"/>
      <c r="D54" s="55"/>
      <c r="E54" s="55"/>
      <c r="F54" s="55"/>
      <c r="G54" s="55"/>
      <c r="H54" s="55"/>
      <c r="I54" s="55"/>
      <c r="J54" s="55"/>
      <c r="K54" s="55"/>
      <c r="L54" s="55"/>
      <c r="M54" s="55"/>
      <c r="N54" s="55"/>
      <c r="O54" s="55"/>
      <c r="P54" s="55"/>
      <c r="Q54" s="55"/>
      <c r="R54" s="55"/>
      <c r="S54" s="55"/>
      <c r="T54" s="55">
        <f>T50+T51+T52+T53</f>
        <v>47411.31</v>
      </c>
      <c r="U54" s="55">
        <f>U50+U51+U52+U53</f>
        <v>58073.87</v>
      </c>
      <c r="V54" s="55">
        <f>V50+V51+V52+V53</f>
        <v>31041.08999999999</v>
      </c>
      <c r="W54" s="55">
        <f>W50+W51+W52+W53</f>
        <v>63177.15999999997</v>
      </c>
      <c r="X54" s="55">
        <f>X50+X51+X52+X53</f>
        <v>41415.74999999998</v>
      </c>
      <c r="Y54" s="55">
        <f>Y50+Y51+Y52+Y53</f>
        <v>7352.509999999995</v>
      </c>
    </row>
    <row r="55" spans="1:25" ht="16" outlineLevel="3">
      <c r="A55" s="49" t="s">
        <v>52</v>
      </c>
      <c r="B55" s="55">
        <f>B32+B33+B34+B38+B41+B45+B49+B54</f>
        <v>16696.75</v>
      </c>
      <c r="C55" s="55">
        <f>C32+C33+C34+C38+C41+C45+C49+C54</f>
        <v>33232.28999999999</v>
      </c>
      <c r="D55" s="55">
        <f>D32+D33+D34+D38+D41+D45+D49+D54</f>
        <v>31761.960000000006</v>
      </c>
      <c r="E55" s="55">
        <f>E32+E33+E34+E38+E41+E45+E49+E54</f>
        <v>41434.78000000001</v>
      </c>
      <c r="F55" s="55">
        <f>F32+F33+F34+F38+F41+F45+F49+F54</f>
        <v>14524.480000000034</v>
      </c>
      <c r="G55" s="55">
        <f>G32+G33+G34+G38+G41+G45+G49+G54</f>
        <v>47555.16000000002</v>
      </c>
      <c r="H55" s="55">
        <f>H32+H33+H34+H38+H41+H45+H49+H54</f>
        <v>39714.640000000014</v>
      </c>
      <c r="I55" s="55">
        <f>I32+I33+I34+I38+I41+I45+I49+I54</f>
        <v>36514.68000000002</v>
      </c>
      <c r="J55" s="55">
        <f>J32+J33+J34+J38+J41+J45+J49+J54</f>
        <v>94313.18000000001</v>
      </c>
      <c r="K55" s="55">
        <f>K32+K33+K34+K38+K41+K45+K49+K54</f>
        <v>55664.11</v>
      </c>
      <c r="L55" s="55">
        <f>L32+L33+L34+L38+L41+L45+L49+L54</f>
        <v>60679.52000000001</v>
      </c>
      <c r="M55" s="55">
        <f>M32+M33+M34+M38+M41+M45+M49+M54</f>
        <v>587.1400000000082</v>
      </c>
      <c r="N55" s="55">
        <f>N32+N33+N34+N38+N41+N45+N49+N54</f>
        <v>62023.29000000003</v>
      </c>
      <c r="O55" s="55">
        <f>O32+O33+O34+O38+O41+O45+O49+O54</f>
        <v>47771.55000000001</v>
      </c>
      <c r="P55" s="55">
        <f>P32+P33+P34+P38+P41+P45+P49+P54</f>
        <v>93311.01000000001</v>
      </c>
      <c r="Q55" s="55">
        <f>Q32+Q33+Q34+Q38+Q41+Q45+Q49+Q54</f>
        <v>79130.13999999998</v>
      </c>
      <c r="R55" s="55">
        <f>R32+R33+R34+R38+R41+R45+R49+R54</f>
        <v>91548.35999999993</v>
      </c>
      <c r="S55" s="55">
        <f>S32+S33+S34+S38+S41+S45+S49+S54</f>
        <v>97066.56999999995</v>
      </c>
      <c r="T55" s="55">
        <f>T32+T33+T34+T38+T41+T45+T49+T54</f>
        <v>107020.90999999992</v>
      </c>
      <c r="U55" s="55">
        <f>U32+U33+U34+U38+U41+U45+U49+U54</f>
        <v>114890.96999999991</v>
      </c>
      <c r="V55" s="55">
        <f>V32+V33+V34+V38+V41+V45+V49+V54</f>
        <v>62192.09999999988</v>
      </c>
      <c r="W55" s="55">
        <f>W32+W33+W34+W38+W41+W45+W49+W54</f>
        <v>150282.3299999998</v>
      </c>
      <c r="X55" s="55">
        <f>X32+X33+X34+X38+X41+X45+X49+X54</f>
        <v>138996.67999999982</v>
      </c>
      <c r="Y55" s="55">
        <f>Y32+Y33+Y34+Y38+Y41+Y45+Y49+Y54</f>
        <v>6772.849999999849</v>
      </c>
    </row>
    <row r="56" spans="1:25" ht="16" outlineLevel="3">
      <c r="A56" s="42" t="s">
        <v>53</v>
      </c>
      <c r="B56" s="53"/>
      <c r="C56" s="53"/>
      <c r="D56" s="53"/>
      <c r="E56" s="53"/>
      <c r="F56" s="53"/>
      <c r="G56" s="53"/>
      <c r="H56" s="53"/>
      <c r="I56" s="53"/>
      <c r="J56" s="53"/>
      <c r="K56" s="53"/>
      <c r="L56" s="53"/>
      <c r="M56" s="53"/>
      <c r="N56" s="53"/>
      <c r="O56" s="53"/>
      <c r="P56" s="53"/>
      <c r="Q56" s="53"/>
      <c r="R56" s="53"/>
      <c r="S56" s="53"/>
      <c r="T56" s="53"/>
      <c r="U56" s="53"/>
      <c r="V56" s="53"/>
      <c r="W56" s="53"/>
      <c r="X56" s="53"/>
      <c r="Y56" s="53"/>
    </row>
    <row r="57" spans="1:25" ht="16" outlineLevel="4">
      <c r="A57" s="46" t="s">
        <v>54</v>
      </c>
      <c r="B57" s="53"/>
      <c r="C57" s="53"/>
      <c r="D57" s="53"/>
      <c r="E57" s="53"/>
      <c r="F57" s="53"/>
      <c r="G57" s="53"/>
      <c r="H57" s="53"/>
      <c r="I57" s="53"/>
      <c r="J57" s="53"/>
      <c r="K57" s="53"/>
      <c r="L57" s="53"/>
      <c r="M57" s="53"/>
      <c r="N57" s="54">
        <v>83.34</v>
      </c>
      <c r="O57" s="54">
        <v>166.68</v>
      </c>
      <c r="P57" s="54">
        <v>250.02</v>
      </c>
      <c r="Q57" s="54">
        <v>333.36</v>
      </c>
      <c r="R57" s="54">
        <v>416.69</v>
      </c>
      <c r="S57" s="54">
        <v>500.02</v>
      </c>
      <c r="T57" s="54">
        <v>750.01</v>
      </c>
      <c r="U57" s="54">
        <v>1000.0</v>
      </c>
      <c r="V57" s="54">
        <v>1250.0</v>
      </c>
      <c r="W57" s="54">
        <v>1500.0</v>
      </c>
      <c r="X57" s="54">
        <v>1750.0</v>
      </c>
      <c r="Y57" s="54">
        <v>1569.63</v>
      </c>
    </row>
    <row r="58" spans="1:25" ht="16" outlineLevel="4">
      <c r="A58" s="46" t="s">
        <v>55</v>
      </c>
      <c r="B58" s="54">
        <v>26596.95</v>
      </c>
      <c r="C58" s="54">
        <v>25053.32</v>
      </c>
      <c r="D58" s="54">
        <v>24078.64</v>
      </c>
      <c r="E58" s="54">
        <v>24732.22</v>
      </c>
      <c r="F58" s="54">
        <v>24857.32</v>
      </c>
      <c r="G58" s="54">
        <v>23898.81</v>
      </c>
      <c r="H58" s="54">
        <v>25715.370000000003</v>
      </c>
      <c r="I58" s="54">
        <v>25958.180000000004</v>
      </c>
      <c r="J58" s="54">
        <v>25618.160000000003</v>
      </c>
      <c r="K58" s="54">
        <v>25964.780000000002</v>
      </c>
      <c r="L58" s="54">
        <v>24915.620000000003</v>
      </c>
      <c r="M58" s="54">
        <v>29523.480000000003</v>
      </c>
      <c r="N58" s="54">
        <v>25845.630000000005</v>
      </c>
      <c r="O58" s="54">
        <v>26143.380000000005</v>
      </c>
      <c r="P58" s="54">
        <v>28648.350000000006</v>
      </c>
      <c r="Q58" s="54">
        <v>28629.670000000006</v>
      </c>
      <c r="R58" s="54">
        <v>28611.490000000005</v>
      </c>
      <c r="S58" s="54">
        <v>28946.250000000004</v>
      </c>
      <c r="T58" s="54">
        <v>28769.360000000004</v>
      </c>
      <c r="U58" s="54">
        <v>29323.310000000005</v>
      </c>
      <c r="V58" s="54">
        <v>27640.490000000005</v>
      </c>
      <c r="W58" s="54">
        <v>26207.660000000003</v>
      </c>
      <c r="X58" s="54">
        <v>27374.230000000003</v>
      </c>
      <c r="Y58" s="54">
        <v>35789.73</v>
      </c>
    </row>
    <row r="59" spans="1:25" ht="16" outlineLevel="3">
      <c r="A59" s="49" t="s">
        <v>56</v>
      </c>
      <c r="B59" s="55">
        <f>B56+B57+B58</f>
        <v>26596.95</v>
      </c>
      <c r="C59" s="55">
        <f>C56+C57+C58</f>
        <v>25053.32</v>
      </c>
      <c r="D59" s="55">
        <f>D56+D57+D58</f>
        <v>24078.64</v>
      </c>
      <c r="E59" s="55">
        <f>E56+E57+E58</f>
        <v>24732.22</v>
      </c>
      <c r="F59" s="55">
        <f>F56+F57+F58</f>
        <v>24857.32</v>
      </c>
      <c r="G59" s="55">
        <f>G56+G57+G58</f>
        <v>23898.81</v>
      </c>
      <c r="H59" s="55">
        <f>H56+H57+H58</f>
        <v>25715.370000000003</v>
      </c>
      <c r="I59" s="55">
        <f>I56+I57+I58</f>
        <v>25958.180000000004</v>
      </c>
      <c r="J59" s="55">
        <f>J56+J57+J58</f>
        <v>25618.160000000003</v>
      </c>
      <c r="K59" s="55">
        <f>K56+K57+K58</f>
        <v>25964.780000000002</v>
      </c>
      <c r="L59" s="55">
        <f>L56+L57+L58</f>
        <v>24915.620000000003</v>
      </c>
      <c r="M59" s="55">
        <f>M56+M57+M58</f>
        <v>29523.480000000003</v>
      </c>
      <c r="N59" s="55">
        <f>N56+N57+N58</f>
        <v>25928.970000000005</v>
      </c>
      <c r="O59" s="55">
        <f>O56+O57+O58</f>
        <v>26310.060000000005</v>
      </c>
      <c r="P59" s="55">
        <f>P56+P57+P58</f>
        <v>28898.370000000006</v>
      </c>
      <c r="Q59" s="55">
        <f>Q56+Q57+Q58</f>
        <v>28963.030000000006</v>
      </c>
      <c r="R59" s="55">
        <f>R56+R57+R58</f>
        <v>29028.180000000004</v>
      </c>
      <c r="S59" s="55">
        <f>S56+S57+S58</f>
        <v>29446.270000000004</v>
      </c>
      <c r="T59" s="55">
        <f>T56+T57+T58</f>
        <v>29519.370000000003</v>
      </c>
      <c r="U59" s="55">
        <f>U56+U57+U58</f>
        <v>30323.310000000005</v>
      </c>
      <c r="V59" s="55">
        <f>V56+V57+V58</f>
        <v>28890.490000000005</v>
      </c>
      <c r="W59" s="55">
        <f>W56+W57+W58</f>
        <v>27707.660000000003</v>
      </c>
      <c r="X59" s="55">
        <f>X56+X57+X58</f>
        <v>29124.230000000003</v>
      </c>
      <c r="Y59" s="55">
        <f>Y56+Y57+Y58</f>
        <v>37359.36</v>
      </c>
    </row>
    <row r="60" spans="1:25" ht="16" outlineLevel="2">
      <c r="A60" s="43" t="s">
        <v>57</v>
      </c>
      <c r="B60" s="55">
        <f>B31+B55+B59</f>
        <v>43293.7</v>
      </c>
      <c r="C60" s="55">
        <f>C31+C55+C59</f>
        <v>58285.60999999999</v>
      </c>
      <c r="D60" s="55">
        <f>D31+D55+D59</f>
        <v>55840.600000000006</v>
      </c>
      <c r="E60" s="55">
        <f>E31+E55+E59</f>
        <v>66167.00000000001</v>
      </c>
      <c r="F60" s="55">
        <f>F31+F55+F59</f>
        <v>39381.80000000003</v>
      </c>
      <c r="G60" s="55">
        <f>G31+G55+G59</f>
        <v>71453.97000000002</v>
      </c>
      <c r="H60" s="55">
        <f>H31+H55+H59</f>
        <v>65430.01000000002</v>
      </c>
      <c r="I60" s="55">
        <f>I31+I55+I59</f>
        <v>62472.86000000003</v>
      </c>
      <c r="J60" s="55">
        <f>J31+J55+J59</f>
        <v>119931.34000000001</v>
      </c>
      <c r="K60" s="55">
        <f>K31+K55+K59</f>
        <v>81628.89</v>
      </c>
      <c r="L60" s="55">
        <f>L31+L55+L59</f>
        <v>85595.14000000001</v>
      </c>
      <c r="M60" s="55">
        <f>M31+M55+M59</f>
        <v>30110.62000000001</v>
      </c>
      <c r="N60" s="55">
        <f>N31+N55+N59</f>
        <v>87952.26000000004</v>
      </c>
      <c r="O60" s="55">
        <f>O31+O55+O59</f>
        <v>74081.61000000002</v>
      </c>
      <c r="P60" s="55">
        <f>P31+P55+P59</f>
        <v>122209.38000000002</v>
      </c>
      <c r="Q60" s="55">
        <f>Q31+Q55+Q59</f>
        <v>108093.16999999998</v>
      </c>
      <c r="R60" s="55">
        <f>R31+R55+R59</f>
        <v>120576.53999999994</v>
      </c>
      <c r="S60" s="55">
        <f>S31+S55+S59</f>
        <v>126512.83999999995</v>
      </c>
      <c r="T60" s="55">
        <f>T31+T55+T59</f>
        <v>136540.2799999999</v>
      </c>
      <c r="U60" s="55">
        <f>U31+U55+U59</f>
        <v>145214.2799999999</v>
      </c>
      <c r="V60" s="55">
        <f>V31+V55+V59</f>
        <v>91082.58999999988</v>
      </c>
      <c r="W60" s="55">
        <f>W31+W55+W59</f>
        <v>177989.98999999982</v>
      </c>
      <c r="X60" s="55">
        <f>X31+X55+X59</f>
        <v>168120.90999999983</v>
      </c>
      <c r="Y60" s="55">
        <f>Y31+Y55+Y59</f>
        <v>44132.209999999846</v>
      </c>
    </row>
    <row r="61" spans="1:25" ht="16" outlineLevel="1">
      <c r="A61" s="44" t="s">
        <v>58</v>
      </c>
      <c r="B61" s="55">
        <f>B30+B60</f>
        <v>43293.7</v>
      </c>
      <c r="C61" s="55">
        <f>C30+C60</f>
        <v>58285.60999999999</v>
      </c>
      <c r="D61" s="55">
        <f>D30+D60</f>
        <v>55840.600000000006</v>
      </c>
      <c r="E61" s="55">
        <f>E30+E60</f>
        <v>66167.00000000001</v>
      </c>
      <c r="F61" s="55">
        <f>F30+F60</f>
        <v>39381.80000000003</v>
      </c>
      <c r="G61" s="55">
        <f>G30+G60</f>
        <v>71453.97000000002</v>
      </c>
      <c r="H61" s="55">
        <f>H30+H60</f>
        <v>65430.01000000002</v>
      </c>
      <c r="I61" s="55">
        <f>I30+I60</f>
        <v>62472.86000000003</v>
      </c>
      <c r="J61" s="55">
        <f>J30+J60</f>
        <v>119931.34000000001</v>
      </c>
      <c r="K61" s="55">
        <f>K30+K60</f>
        <v>81628.89</v>
      </c>
      <c r="L61" s="55">
        <f>L30+L60</f>
        <v>85595.14000000001</v>
      </c>
      <c r="M61" s="55">
        <f>M30+M60</f>
        <v>30110.62000000001</v>
      </c>
      <c r="N61" s="55">
        <f>N30+N60</f>
        <v>87952.26000000004</v>
      </c>
      <c r="O61" s="55">
        <f>O30+O60</f>
        <v>74081.61000000002</v>
      </c>
      <c r="P61" s="55">
        <f>P30+P60</f>
        <v>122209.38000000002</v>
      </c>
      <c r="Q61" s="55">
        <f>Q30+Q60</f>
        <v>108093.16999999998</v>
      </c>
      <c r="R61" s="55">
        <f>R30+R60</f>
        <v>120576.53999999994</v>
      </c>
      <c r="S61" s="55">
        <f>S30+S60</f>
        <v>126512.83999999995</v>
      </c>
      <c r="T61" s="55">
        <f>T30+T60</f>
        <v>136540.2799999999</v>
      </c>
      <c r="U61" s="55">
        <f>U30+U60</f>
        <v>145214.2799999999</v>
      </c>
      <c r="V61" s="55">
        <f>V30+V60</f>
        <v>91082.58999999988</v>
      </c>
      <c r="W61" s="55">
        <f>W30+W60</f>
        <v>177989.98999999982</v>
      </c>
      <c r="X61" s="55">
        <f>X30+X60</f>
        <v>168120.90999999983</v>
      </c>
      <c r="Y61" s="55">
        <f>Y30+Y60</f>
        <v>44132.209999999846</v>
      </c>
    </row>
    <row r="62" spans="1:25" ht="16" outlineLevel="1">
      <c r="A62" s="40" t="s">
        <v>59</v>
      </c>
      <c r="B62" s="53"/>
      <c r="C62" s="53"/>
      <c r="D62" s="53"/>
      <c r="E62" s="53"/>
      <c r="F62" s="53"/>
      <c r="G62" s="53"/>
      <c r="H62" s="53"/>
      <c r="I62" s="53"/>
      <c r="J62" s="53"/>
      <c r="K62" s="53"/>
      <c r="L62" s="53"/>
      <c r="M62" s="53"/>
      <c r="N62" s="53"/>
      <c r="O62" s="53"/>
      <c r="P62" s="53"/>
      <c r="Q62" s="53"/>
      <c r="R62" s="53"/>
      <c r="S62" s="53"/>
      <c r="T62" s="53"/>
      <c r="U62" s="53"/>
      <c r="V62" s="53"/>
      <c r="W62" s="53"/>
      <c r="X62" s="53"/>
      <c r="Y62" s="53"/>
    </row>
    <row r="63" spans="1:25" ht="16" outlineLevel="2">
      <c r="A63" s="41" t="s">
        <v>60</v>
      </c>
      <c r="B63" s="54">
        <v>-142500.0</v>
      </c>
      <c r="C63" s="54">
        <v>-179500.0</v>
      </c>
      <c r="D63" s="54">
        <v>-191500.0</v>
      </c>
      <c r="E63" s="54">
        <v>-296500.0</v>
      </c>
      <c r="F63" s="54">
        <v>-308500.0</v>
      </c>
      <c r="G63" s="54">
        <v>-413500.0</v>
      </c>
      <c r="H63" s="54">
        <v>-475500.0</v>
      </c>
      <c r="I63" s="54">
        <v>-637500.0</v>
      </c>
      <c r="J63" s="54">
        <v>-649500.0</v>
      </c>
      <c r="K63" s="54">
        <v>-661500.0</v>
      </c>
      <c r="L63" s="54">
        <v>-723500.0</v>
      </c>
      <c r="M63" s="54">
        <v>-735500.0</v>
      </c>
      <c r="N63" s="54">
        <v>-827500.0</v>
      </c>
      <c r="O63" s="54">
        <v>-859500.0</v>
      </c>
      <c r="P63" s="54">
        <v>-921500.0</v>
      </c>
      <c r="Q63" s="54">
        <v>-1246557.0</v>
      </c>
      <c r="R63" s="54">
        <v>-1258557.0</v>
      </c>
      <c r="S63" s="54">
        <v>-1438372.0</v>
      </c>
      <c r="T63" s="54">
        <v>-1450372.0</v>
      </c>
      <c r="U63" s="54">
        <v>-1462372.0</v>
      </c>
      <c r="V63" s="54">
        <v>-1634372.0</v>
      </c>
      <c r="W63" s="54">
        <v>-1646372.0</v>
      </c>
      <c r="X63" s="54">
        <v>-1658372.0</v>
      </c>
      <c r="Y63" s="54">
        <v>-1670372.0</v>
      </c>
    </row>
    <row r="64" spans="1:25" ht="16" outlineLevel="2">
      <c r="A64" s="41" t="s">
        <v>61</v>
      </c>
      <c r="B64" s="54">
        <v>-142500.0</v>
      </c>
      <c r="C64" s="54">
        <v>-179500.0</v>
      </c>
      <c r="D64" s="54">
        <v>-191500.0</v>
      </c>
      <c r="E64" s="54">
        <v>-296500.0</v>
      </c>
      <c r="F64" s="54">
        <v>-308500.0</v>
      </c>
      <c r="G64" s="54">
        <v>-413500.0</v>
      </c>
      <c r="H64" s="54">
        <v>-475500.0</v>
      </c>
      <c r="I64" s="54">
        <v>-637500.0</v>
      </c>
      <c r="J64" s="54">
        <v>-649500.0</v>
      </c>
      <c r="K64" s="54">
        <v>-661500.0</v>
      </c>
      <c r="L64" s="54">
        <v>-723500.0</v>
      </c>
      <c r="M64" s="54">
        <v>-735500.0</v>
      </c>
      <c r="N64" s="54">
        <v>-827500.0</v>
      </c>
      <c r="O64" s="54">
        <v>-859500.0</v>
      </c>
      <c r="P64" s="54">
        <v>-921500.0</v>
      </c>
      <c r="Q64" s="54">
        <v>-1048500.0</v>
      </c>
      <c r="R64" s="54">
        <v>-1060500.0</v>
      </c>
      <c r="S64" s="54">
        <v>-1240315.0</v>
      </c>
      <c r="T64" s="54">
        <v>-1252315.0</v>
      </c>
      <c r="U64" s="54">
        <v>-1264315.0</v>
      </c>
      <c r="V64" s="54">
        <v>-1531737.42</v>
      </c>
      <c r="W64" s="54">
        <v>-1543737.42</v>
      </c>
      <c r="X64" s="54">
        <v>-1555737.42</v>
      </c>
      <c r="Y64" s="54">
        <v>-1567737.42</v>
      </c>
    </row>
    <row r="65" spans="1:25" ht="16" outlineLevel="2">
      <c r="A65" s="41" t="s">
        <v>62</v>
      </c>
      <c r="B65" s="54">
        <v>8494.0</v>
      </c>
      <c r="C65" s="54">
        <v>8494.0</v>
      </c>
      <c r="D65" s="54">
        <v>8494.0</v>
      </c>
      <c r="E65" s="54">
        <v>8494.0</v>
      </c>
      <c r="F65" s="54">
        <v>8494.0</v>
      </c>
      <c r="G65" s="54">
        <v>8494.0</v>
      </c>
      <c r="H65" s="54">
        <v>8494.0</v>
      </c>
      <c r="I65" s="54">
        <v>8494.0</v>
      </c>
      <c r="J65" s="54">
        <v>8494.0</v>
      </c>
      <c r="K65" s="54">
        <v>8494.0</v>
      </c>
      <c r="L65" s="54">
        <v>8494.0</v>
      </c>
      <c r="M65" s="54">
        <v>8494.0</v>
      </c>
      <c r="N65" s="54">
        <v>8494.0</v>
      </c>
      <c r="O65" s="54">
        <v>8494.0</v>
      </c>
      <c r="P65" s="54">
        <v>8494.0</v>
      </c>
      <c r="Q65" s="54">
        <v>8494.0</v>
      </c>
      <c r="R65" s="54">
        <v>8494.0</v>
      </c>
      <c r="S65" s="54">
        <v>8494.0</v>
      </c>
      <c r="T65" s="54">
        <v>8494.0</v>
      </c>
      <c r="U65" s="54">
        <v>8494.0</v>
      </c>
      <c r="V65" s="54">
        <v>8494.0</v>
      </c>
      <c r="W65" s="54">
        <v>8494.0</v>
      </c>
      <c r="X65" s="54">
        <v>8494.0</v>
      </c>
      <c r="Y65" s="54">
        <v>8494.0</v>
      </c>
    </row>
    <row r="66" spans="1:25" ht="16" outlineLevel="2">
      <c r="A66" s="41" t="s">
        <v>63</v>
      </c>
      <c r="B66" s="54">
        <v>5326.0</v>
      </c>
      <c r="C66" s="54">
        <v>5326.0</v>
      </c>
      <c r="D66" s="54">
        <v>5326.0</v>
      </c>
      <c r="E66" s="54">
        <v>5326.0</v>
      </c>
      <c r="F66" s="54">
        <v>5326.0</v>
      </c>
      <c r="G66" s="54">
        <v>5326.0</v>
      </c>
      <c r="H66" s="54">
        <v>5326.0</v>
      </c>
      <c r="I66" s="54">
        <v>5326.0</v>
      </c>
      <c r="J66" s="54">
        <v>5326.0</v>
      </c>
      <c r="K66" s="54">
        <v>5326.0</v>
      </c>
      <c r="L66" s="54">
        <v>5326.0</v>
      </c>
      <c r="M66" s="54">
        <v>5326.0</v>
      </c>
      <c r="N66" s="54">
        <v>5326.0</v>
      </c>
      <c r="O66" s="54">
        <v>5326.0</v>
      </c>
      <c r="P66" s="54">
        <v>5326.0</v>
      </c>
      <c r="Q66" s="54">
        <v>5326.0</v>
      </c>
      <c r="R66" s="54">
        <v>5326.0</v>
      </c>
      <c r="S66" s="54">
        <v>5326.0</v>
      </c>
      <c r="T66" s="54">
        <v>5326.0</v>
      </c>
      <c r="U66" s="54">
        <v>5326.0</v>
      </c>
      <c r="V66" s="54">
        <v>5326.0</v>
      </c>
      <c r="W66" s="54">
        <v>5326.0</v>
      </c>
      <c r="X66" s="54">
        <v>5326.0</v>
      </c>
      <c r="Y66" s="54">
        <v>5326.0</v>
      </c>
    </row>
    <row r="67" spans="1:25" ht="16" outlineLevel="2">
      <c r="A67" s="41" t="s">
        <v>64</v>
      </c>
      <c r="B67" s="54">
        <v>2155121.7300000004</v>
      </c>
      <c r="C67" s="54">
        <v>2155121.7300000004</v>
      </c>
      <c r="D67" s="54">
        <v>2155121.7300000004</v>
      </c>
      <c r="E67" s="54">
        <v>2155121.7300000004</v>
      </c>
      <c r="F67" s="54">
        <v>2155121.7300000004</v>
      </c>
      <c r="G67" s="54">
        <v>2155121.7300000004</v>
      </c>
      <c r="H67" s="54">
        <v>2155121.7300000004</v>
      </c>
      <c r="I67" s="54">
        <v>2155121.7300000004</v>
      </c>
      <c r="J67" s="54">
        <v>2155121.7300000004</v>
      </c>
      <c r="K67" s="54">
        <v>2155121.7300000004</v>
      </c>
      <c r="L67" s="54">
        <v>2155121.7300000004</v>
      </c>
      <c r="M67" s="54">
        <v>2155121.7300000004</v>
      </c>
      <c r="N67" s="54">
        <v>4193542.840000001</v>
      </c>
      <c r="O67" s="54">
        <v>4193542.840000001</v>
      </c>
      <c r="P67" s="54">
        <v>4193542.840000001</v>
      </c>
      <c r="Q67" s="54">
        <v>4193542.840000001</v>
      </c>
      <c r="R67" s="54">
        <v>4193542.840000001</v>
      </c>
      <c r="S67" s="54">
        <v>4193542.840000001</v>
      </c>
      <c r="T67" s="54">
        <v>4193542.840000001</v>
      </c>
      <c r="U67" s="54">
        <v>4193542.840000001</v>
      </c>
      <c r="V67" s="54">
        <v>4193542.840000001</v>
      </c>
      <c r="W67" s="54">
        <v>4193542.840000001</v>
      </c>
      <c r="X67" s="54">
        <v>4193542.840000001</v>
      </c>
      <c r="Y67" s="54">
        <v>4193542.840000001</v>
      </c>
    </row>
    <row r="68" spans="1:25" ht="16" outlineLevel="2">
      <c r="A68" s="41" t="s">
        <v>65</v>
      </c>
      <c r="B68" s="54">
        <v>456470.48000000033</v>
      </c>
      <c r="C68" s="54">
        <v>674465.4800000004</v>
      </c>
      <c r="D68" s="54">
        <v>575555.1100000005</v>
      </c>
      <c r="E68" s="54">
        <v>693766.1600000004</v>
      </c>
      <c r="F68" s="54">
        <v>1955911.7700000003</v>
      </c>
      <c r="G68" s="54">
        <v>2154998.2600000002</v>
      </c>
      <c r="H68" s="54">
        <v>2149735.12</v>
      </c>
      <c r="I68" s="54">
        <v>2242553.36</v>
      </c>
      <c r="J68" s="54">
        <v>2232007.75</v>
      </c>
      <c r="K68" s="54">
        <v>2359873.94</v>
      </c>
      <c r="L68" s="54">
        <v>2426592.69</v>
      </c>
      <c r="M68" s="54">
        <v>2038421.11</v>
      </c>
      <c r="N68" s="54">
        <v>128325.80000000013</v>
      </c>
      <c r="O68" s="54">
        <v>943102.4700000001</v>
      </c>
      <c r="P68" s="54">
        <v>1195064.5000000002</v>
      </c>
      <c r="Q68" s="54">
        <v>1137108.8300000003</v>
      </c>
      <c r="R68" s="54">
        <v>1709850.8900000004</v>
      </c>
      <c r="S68" s="54">
        <v>3059416.590000001</v>
      </c>
      <c r="T68" s="54">
        <v>2744504.690000001</v>
      </c>
      <c r="U68" s="54">
        <v>3181148.5100000007</v>
      </c>
      <c r="V68" s="54">
        <v>4075348.610000001</v>
      </c>
      <c r="W68" s="54">
        <v>4924863.8500000015</v>
      </c>
      <c r="X68" s="54">
        <v>4848996.230000001</v>
      </c>
      <c r="Y68" s="54">
        <v>5512334.340000002</v>
      </c>
    </row>
    <row r="69" spans="1:25" ht="16" outlineLevel="1">
      <c r="A69" s="44" t="s">
        <v>66</v>
      </c>
      <c r="B69" s="55">
        <f>B62+B63+B64+B65+B66+B67+B68</f>
        <v>2340412.210000001</v>
      </c>
      <c r="C69" s="55">
        <f>C62+C63+C64+C65+C66+C67+C68</f>
        <v>2484407.210000001</v>
      </c>
      <c r="D69" s="55">
        <f>D62+D63+D64+D65+D66+D67+D68</f>
        <v>2361496.840000001</v>
      </c>
      <c r="E69" s="55">
        <f>E62+E63+E64+E65+E66+E67+E68</f>
        <v>2269707.8900000006</v>
      </c>
      <c r="F69" s="55">
        <f>F62+F63+F64+F65+F66+F67+F68</f>
        <v>3507853.500000001</v>
      </c>
      <c r="G69" s="55">
        <f>G62+G63+G64+G65+G66+G67+G68</f>
        <v>3496939.9900000007</v>
      </c>
      <c r="H69" s="55">
        <f>H62+H63+H64+H65+H66+H67+H68</f>
        <v>3367676.8500000006</v>
      </c>
      <c r="I69" s="55">
        <f>I62+I63+I64+I65+I66+I67+I68</f>
        <v>3136495.0900000003</v>
      </c>
      <c r="J69" s="55">
        <f>J62+J63+J64+J65+J66+J67+J68</f>
        <v>3101949.4800000004</v>
      </c>
      <c r="K69" s="55">
        <f>K62+K63+K64+K65+K66+K67+K68</f>
        <v>3205815.6700000004</v>
      </c>
      <c r="L69" s="55">
        <f>L62+L63+L64+L65+L66+L67+L68</f>
        <v>3148534.4200000004</v>
      </c>
      <c r="M69" s="55">
        <f>M62+M63+M64+M65+M66+M67+M68</f>
        <v>2736362.840000001</v>
      </c>
      <c r="N69" s="55">
        <f>N62+N63+N64+N65+N66+N67+N68</f>
        <v>2680688.640000001</v>
      </c>
      <c r="O69" s="55">
        <f>O62+O63+O64+O65+O66+O67+O68</f>
        <v>3431465.310000001</v>
      </c>
      <c r="P69" s="55">
        <f>P62+P63+P64+P65+P66+P67+P68</f>
        <v>3559427.340000001</v>
      </c>
      <c r="Q69" s="55">
        <f>Q62+Q63+Q64+Q65+Q66+Q67+Q68</f>
        <v>3049414.670000001</v>
      </c>
      <c r="R69" s="55">
        <f>R62+R63+R64+R65+R66+R67+R68</f>
        <v>3598156.7300000014</v>
      </c>
      <c r="S69" s="55">
        <f>S62+S63+S64+S65+S66+S67+S68</f>
        <v>4588092.430000002</v>
      </c>
      <c r="T69" s="55">
        <f>T62+T63+T64+T65+T66+T67+T68</f>
        <v>4249180.530000001</v>
      </c>
      <c r="U69" s="55">
        <f>U62+U63+U64+U65+U66+U67+U68</f>
        <v>4661824.3500000015</v>
      </c>
      <c r="V69" s="55">
        <f>V62+V63+V64+V65+V66+V67+V68</f>
        <v>5116602.030000001</v>
      </c>
      <c r="W69" s="55">
        <f>W62+W63+W64+W65+W66+W67+W68</f>
        <v>5942117.270000002</v>
      </c>
      <c r="X69" s="55">
        <f>X62+X63+X64+X65+X66+X67+X68</f>
        <v>5842249.650000002</v>
      </c>
      <c r="Y69" s="55">
        <f>Y62+Y63+Y64+Y65+Y66+Y67+Y68</f>
        <v>6481587.760000003</v>
      </c>
    </row>
    <row r="70" spans="1:25" ht="16">
      <c r="A70" s="45" t="s">
        <v>67</v>
      </c>
      <c r="B70" s="55">
        <f>B61+B69</f>
        <v>2383705.910000001</v>
      </c>
      <c r="C70" s="55">
        <f>C61+C69</f>
        <v>2542692.8200000008</v>
      </c>
      <c r="D70" s="55">
        <f>D61+D69</f>
        <v>2417337.440000001</v>
      </c>
      <c r="E70" s="55">
        <f>E61+E69</f>
        <v>2335874.8900000006</v>
      </c>
      <c r="F70" s="55">
        <f>F61+F69</f>
        <v>3547235.3000000007</v>
      </c>
      <c r="G70" s="55">
        <f>G61+G69</f>
        <v>3568393.960000001</v>
      </c>
      <c r="H70" s="55">
        <f>H61+H69</f>
        <v>3433106.860000001</v>
      </c>
      <c r="I70" s="55">
        <f>I61+I69</f>
        <v>3198967.95</v>
      </c>
      <c r="J70" s="55">
        <f>J61+J69</f>
        <v>3221880.8200000003</v>
      </c>
      <c r="K70" s="55">
        <f>K61+K69</f>
        <v>3287444.5600000005</v>
      </c>
      <c r="L70" s="55">
        <f>L61+L69</f>
        <v>3234129.5600000005</v>
      </c>
      <c r="M70" s="55">
        <f>M61+M69</f>
        <v>2766473.460000001</v>
      </c>
      <c r="N70" s="55">
        <f>N61+N69</f>
        <v>2768640.9000000013</v>
      </c>
      <c r="O70" s="55">
        <f>O61+O69</f>
        <v>3505546.920000001</v>
      </c>
      <c r="P70" s="55">
        <f>P61+P69</f>
        <v>3681636.7200000007</v>
      </c>
      <c r="Q70" s="55">
        <f>Q61+Q69</f>
        <v>3157507.840000001</v>
      </c>
      <c r="R70" s="55">
        <f>R61+R69</f>
        <v>3718733.2700000014</v>
      </c>
      <c r="S70" s="55">
        <f>S61+S69</f>
        <v>4714605.270000001</v>
      </c>
      <c r="T70" s="55">
        <f>T61+T69</f>
        <v>4385720.810000001</v>
      </c>
      <c r="U70" s="55">
        <f>U61+U69</f>
        <v>4807038.630000002</v>
      </c>
      <c r="V70" s="55">
        <f>V61+V69</f>
        <v>5207684.620000001</v>
      </c>
      <c r="W70" s="55">
        <f>W61+W69</f>
        <v>6120107.260000003</v>
      </c>
      <c r="X70" s="55">
        <f>X61+X69</f>
        <v>6010370.560000002</v>
      </c>
      <c r="Y70" s="55">
        <f>Y61+Y69</f>
        <v>6525719.9700000025</v>
      </c>
    </row>
    <row r="74" spans="1:1" ht="16">
      <c r="A74" s="56" t="s">
        <v>93</v>
      </c>
    </row>
  </sheetData>
  <mergeCells count="4">
    <mergeCell ref="A1:Y1"/>
    <mergeCell ref="A2:Y2"/>
    <mergeCell ref="A3:Y3"/>
    <mergeCell ref="A74:Y74"/>
  </mergeCell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AppVersion>16.0300</AppVers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Template/>
  <Manager/>
  <Company/>
  <LinksUpToDate>false</LinksUpToDate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Microsoft Office User</dc:creator>
  <cp:keywords/>
  <dc:description/>
  <cp:lastModifiedBy>Microsoft Office User</cp:lastModifiedBy>
  <dcterms:created xsi:type="dcterms:W3CDTF">2022-03-24T08:55:57Z</dcterms:created>
  <dcterms:modified xsi:type="dcterms:W3CDTF">2022-03-30T09:41:57Z</dcterms:modified>
  <cp:category/>
</cp:coreProperties>
</file>