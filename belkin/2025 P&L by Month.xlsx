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a51091d32cd17/Documents/_aaaaaaaaCLIENTS/NYDG - Colbert/______Nancy/"/>
    </mc:Choice>
  </mc:AlternateContent>
  <xr:revisionPtr revIDLastSave="0" documentId="8_{54D70E41-AEA0-40B9-8D10-CF4F22FFEA69}" xr6:coauthVersionLast="47" xr6:coauthVersionMax="47" xr10:uidLastSave="{00000000-0000-0000-0000-000000000000}"/>
  <bookViews>
    <workbookView xWindow="-120" yWindow="-120" windowWidth="29040" windowHeight="15720" xr2:uid="{A26D4FD8-41C8-4EB0-95B7-D5627782A2C9}"/>
  </bookViews>
  <sheets>
    <sheet name="Sheet1" sheetId="1" r:id="rId1"/>
  </sheets>
  <definedNames>
    <definedName name="_xlnm.Print_Titles" localSheetId="0">Sheet1!$A:$E,Sheet1!$1:$1</definedName>
    <definedName name="QB_COLUMN_2921" localSheetId="0" hidden="1">Sheet1!$F$1</definedName>
    <definedName name="QB_COLUMN_29210" localSheetId="0" hidden="1">Sheet1!$X$1</definedName>
    <definedName name="QB_COLUMN_29211" localSheetId="0" hidden="1">Sheet1!$Z$1</definedName>
    <definedName name="QB_COLUMN_29212" localSheetId="0" hidden="1">Sheet1!$AB$1</definedName>
    <definedName name="QB_COLUMN_2922" localSheetId="0" hidden="1">Sheet1!$H$1</definedName>
    <definedName name="QB_COLUMN_2923" localSheetId="0" hidden="1">Sheet1!$J$1</definedName>
    <definedName name="QB_COLUMN_2924" localSheetId="0" hidden="1">Sheet1!$L$1</definedName>
    <definedName name="QB_COLUMN_2925" localSheetId="0" hidden="1">Sheet1!$N$1</definedName>
    <definedName name="QB_COLUMN_2926" localSheetId="0" hidden="1">Sheet1!$P$1</definedName>
    <definedName name="QB_COLUMN_2927" localSheetId="0" hidden="1">Sheet1!$R$1</definedName>
    <definedName name="QB_COLUMN_2928" localSheetId="0" hidden="1">Sheet1!$T$1</definedName>
    <definedName name="QB_COLUMN_2929" localSheetId="0" hidden="1">Sheet1!$V$1</definedName>
    <definedName name="QB_COLUMN_2930" localSheetId="0" hidden="1">Sheet1!$AD$1</definedName>
    <definedName name="QB_DATA_0" localSheetId="0" hidden="1">Sheet1!$4:$4,Sheet1!$5:$5,Sheet1!$6:$6,Sheet1!$9:$9,Sheet1!$10:$10,Sheet1!$11:$11,Sheet1!$13:$13,Sheet1!$14:$14,Sheet1!$15:$15,Sheet1!$16:$16,Sheet1!$19:$19,Sheet1!$20:$20,Sheet1!$21:$21,Sheet1!$22:$22,Sheet1!$23:$23,Sheet1!$26:$26</definedName>
    <definedName name="QB_DATA_1" localSheetId="0" hidden="1">Sheet1!$27:$27,Sheet1!$28:$28,Sheet1!$29:$29,Sheet1!$31:$31,Sheet1!$32:$32,Sheet1!$33:$33,Sheet1!$34:$34,Sheet1!$35:$35,Sheet1!$37:$37,Sheet1!$38:$38,Sheet1!$40:$40,Sheet1!$41:$41,Sheet1!$42:$42,Sheet1!$43:$43,Sheet1!$44:$44,Sheet1!$45:$45</definedName>
    <definedName name="QB_DATA_2" localSheetId="0" hidden="1">Sheet1!$46:$46,Sheet1!$47:$47,Sheet1!$48:$48,Sheet1!$50:$50,Sheet1!$51:$51,Sheet1!$52:$52,Sheet1!$54:$54,Sheet1!$55:$55,Sheet1!$56:$56,Sheet1!$57:$57,Sheet1!$58:$58,Sheet1!$59:$59,Sheet1!$60:$60,Sheet1!$61:$61,Sheet1!$62:$62,Sheet1!$63:$63</definedName>
    <definedName name="QB_DATA_3" localSheetId="0" hidden="1">Sheet1!$64:$64,Sheet1!$65:$65,Sheet1!$66:$66,Sheet1!$67:$67,Sheet1!$68:$68,Sheet1!$69:$69,Sheet1!$70:$70,Sheet1!$72:$72,Sheet1!$73:$73,Sheet1!$74:$74,Sheet1!$75:$75,Sheet1!$76:$76,Sheet1!$78:$78,Sheet1!$79:$79,Sheet1!$80:$80,Sheet1!$81:$81</definedName>
    <definedName name="QB_DATA_4" localSheetId="0" hidden="1">Sheet1!$82:$82,Sheet1!$83:$83,Sheet1!$84:$84,Sheet1!$85:$85,Sheet1!$86:$86,Sheet1!$87:$87,Sheet1!$89:$89,Sheet1!$90:$90,Sheet1!$91:$91,Sheet1!$92:$92,Sheet1!$95:$95,Sheet1!$96:$96,Sheet1!$99:$99,Sheet1!$100:$100,Sheet1!$101:$101,Sheet1!$102:$102</definedName>
    <definedName name="QB_DATA_5" localSheetId="0" hidden="1">Sheet1!$103:$103,Sheet1!$104:$104,Sheet1!$107:$107,Sheet1!$108:$108,Sheet1!$109:$109,Sheet1!$110:$110,Sheet1!$111:$111,Sheet1!$113:$113,Sheet1!$114:$114,Sheet1!$115:$115,Sheet1!$116:$116,Sheet1!$117:$117,Sheet1!$118:$118,Sheet1!$119:$119,Sheet1!$120:$120,Sheet1!$126:$126</definedName>
    <definedName name="QB_DATA_6" localSheetId="0" hidden="1">Sheet1!$127:$127,Sheet1!$129:$129,Sheet1!$133:$133,Sheet1!$135:$135,Sheet1!$136:$136,Sheet1!$137:$137</definedName>
    <definedName name="QB_FORMULA_0" localSheetId="0" hidden="1">Sheet1!$AD$4,Sheet1!$AD$5,Sheet1!$AD$6,Sheet1!$F$7,Sheet1!$H$7,Sheet1!$J$7,Sheet1!$L$7,Sheet1!$N$7,Sheet1!$P$7,Sheet1!$R$7,Sheet1!$T$7,Sheet1!$V$7,Sheet1!$X$7,Sheet1!$Z$7,Sheet1!$AB$7,Sheet1!$AD$7</definedName>
    <definedName name="QB_FORMULA_1" localSheetId="0" hidden="1">Sheet1!$AD$9,Sheet1!$AD$10,Sheet1!$AD$11,Sheet1!$AD$13,Sheet1!$AD$14,Sheet1!$AD$15,Sheet1!$AD$16,Sheet1!$F$17,Sheet1!$H$17,Sheet1!$J$17,Sheet1!$L$17,Sheet1!$N$17,Sheet1!$P$17,Sheet1!$R$17,Sheet1!$T$17,Sheet1!$V$17</definedName>
    <definedName name="QB_FORMULA_10" localSheetId="0" hidden="1">Sheet1!$AD$87,Sheet1!$AD$89,Sheet1!$AD$90,Sheet1!$AD$91,Sheet1!$AD$92,Sheet1!$F$93,Sheet1!$H$93,Sheet1!$J$93,Sheet1!$L$93,Sheet1!$N$93,Sheet1!$P$93,Sheet1!$R$93,Sheet1!$T$93,Sheet1!$V$93,Sheet1!$X$93,Sheet1!$Z$93</definedName>
    <definedName name="QB_FORMULA_11" localSheetId="0" hidden="1">Sheet1!$AB$93,Sheet1!$AD$93,Sheet1!$AD$95,Sheet1!$AD$96,Sheet1!$F$97,Sheet1!$H$97,Sheet1!$J$97,Sheet1!$L$97,Sheet1!$N$97,Sheet1!$P$97,Sheet1!$R$97,Sheet1!$T$97,Sheet1!$V$97,Sheet1!$X$97,Sheet1!$Z$97,Sheet1!$AB$97</definedName>
    <definedName name="QB_FORMULA_12" localSheetId="0" hidden="1">Sheet1!$AD$97,Sheet1!$AD$99,Sheet1!$AD$100,Sheet1!$AD$101,Sheet1!$AD$102,Sheet1!$AD$103,Sheet1!$AD$104,Sheet1!$F$105,Sheet1!$H$105,Sheet1!$J$105,Sheet1!$L$105,Sheet1!$N$105,Sheet1!$P$105,Sheet1!$R$105,Sheet1!$T$105,Sheet1!$V$105</definedName>
    <definedName name="QB_FORMULA_13" localSheetId="0" hidden="1">Sheet1!$X$105,Sheet1!$Z$105,Sheet1!$AB$105,Sheet1!$AD$105,Sheet1!$AD$107,Sheet1!$AD$108,Sheet1!$AD$109,Sheet1!$AD$110,Sheet1!$AD$111,Sheet1!$F$112,Sheet1!$H$112,Sheet1!$J$112,Sheet1!$L$112,Sheet1!$N$112,Sheet1!$P$112,Sheet1!$R$112</definedName>
    <definedName name="QB_FORMULA_14" localSheetId="0" hidden="1">Sheet1!$T$112,Sheet1!$V$112,Sheet1!$X$112,Sheet1!$Z$112,Sheet1!$AB$112,Sheet1!$AD$112,Sheet1!$AD$113,Sheet1!$AD$114,Sheet1!$AD$115,Sheet1!$AD$116,Sheet1!$AD$117,Sheet1!$AD$118,Sheet1!$AD$119,Sheet1!$AD$120,Sheet1!$F$121,Sheet1!$H$121</definedName>
    <definedName name="QB_FORMULA_15" localSheetId="0" hidden="1">Sheet1!$J$121,Sheet1!$L$121,Sheet1!$N$121,Sheet1!$P$121,Sheet1!$R$121,Sheet1!$T$121,Sheet1!$V$121,Sheet1!$X$121,Sheet1!$Z$121,Sheet1!$AB$121,Sheet1!$AD$121,Sheet1!$F$122,Sheet1!$H$122,Sheet1!$J$122,Sheet1!$L$122,Sheet1!$N$122</definedName>
    <definedName name="QB_FORMULA_16" localSheetId="0" hidden="1">Sheet1!$P$122,Sheet1!$R$122,Sheet1!$T$122,Sheet1!$V$122,Sheet1!$X$122,Sheet1!$Z$122,Sheet1!$AB$122,Sheet1!$AD$122,Sheet1!$AD$126,Sheet1!$AD$127,Sheet1!$F$128,Sheet1!$H$128,Sheet1!$J$128,Sheet1!$L$128,Sheet1!$N$128,Sheet1!$P$128</definedName>
    <definedName name="QB_FORMULA_17" localSheetId="0" hidden="1">Sheet1!$R$128,Sheet1!$T$128,Sheet1!$V$128,Sheet1!$X$128,Sheet1!$Z$128,Sheet1!$AB$128,Sheet1!$AD$128,Sheet1!$AD$129,Sheet1!$F$130,Sheet1!$H$130,Sheet1!$J$130,Sheet1!$L$130,Sheet1!$N$130,Sheet1!$P$130,Sheet1!$R$130,Sheet1!$T$130</definedName>
    <definedName name="QB_FORMULA_18" localSheetId="0" hidden="1">Sheet1!$V$130,Sheet1!$X$130,Sheet1!$Z$130,Sheet1!$AB$130,Sheet1!$AD$130,Sheet1!$AD$133,Sheet1!$F$134,Sheet1!$H$134,Sheet1!$J$134,Sheet1!$L$134,Sheet1!$N$134,Sheet1!$P$134,Sheet1!$R$134,Sheet1!$T$134,Sheet1!$V$134,Sheet1!$X$134</definedName>
    <definedName name="QB_FORMULA_19" localSheetId="0" hidden="1">Sheet1!$Z$134,Sheet1!$AB$134,Sheet1!$AD$134,Sheet1!$AD$135,Sheet1!$AD$136,Sheet1!$AD$137,Sheet1!$F$138,Sheet1!$H$138,Sheet1!$J$138,Sheet1!$L$138,Sheet1!$N$138,Sheet1!$P$138,Sheet1!$R$138,Sheet1!$T$138,Sheet1!$V$138,Sheet1!$X$138</definedName>
    <definedName name="QB_FORMULA_2" localSheetId="0" hidden="1">Sheet1!$X$17,Sheet1!$Z$17,Sheet1!$AB$17,Sheet1!$AD$17,Sheet1!$AD$19,Sheet1!$AD$20,Sheet1!$AD$21,Sheet1!$AD$22,Sheet1!$AD$23,Sheet1!$F$24,Sheet1!$H$24,Sheet1!$J$24,Sheet1!$L$24,Sheet1!$N$24,Sheet1!$P$24,Sheet1!$R$24</definedName>
    <definedName name="QB_FORMULA_20" localSheetId="0" hidden="1">Sheet1!$Z$138,Sheet1!$AB$138,Sheet1!$AD$138,Sheet1!$F$139,Sheet1!$H$139,Sheet1!$J$139,Sheet1!$L$139,Sheet1!$N$139,Sheet1!$P$139,Sheet1!$R$139,Sheet1!$T$139,Sheet1!$V$139,Sheet1!$X$139,Sheet1!$Z$139,Sheet1!$AB$139,Sheet1!$AD$139</definedName>
    <definedName name="QB_FORMULA_21" localSheetId="0" hidden="1">Sheet1!$F$140,Sheet1!$H$140,Sheet1!$J$140,Sheet1!$L$140,Sheet1!$N$140,Sheet1!$P$140,Sheet1!$R$140,Sheet1!$T$140,Sheet1!$V$140,Sheet1!$X$140,Sheet1!$Z$140,Sheet1!$AB$140,Sheet1!$AD$140</definedName>
    <definedName name="QB_FORMULA_3" localSheetId="0" hidden="1">Sheet1!$T$24,Sheet1!$V$24,Sheet1!$X$24,Sheet1!$Z$24,Sheet1!$AB$24,Sheet1!$AD$24,Sheet1!$AD$26,Sheet1!$AD$27,Sheet1!$AD$28,Sheet1!$AD$29,Sheet1!$F$30,Sheet1!$H$30,Sheet1!$J$30,Sheet1!$L$30,Sheet1!$N$30,Sheet1!$P$30</definedName>
    <definedName name="QB_FORMULA_4" localSheetId="0" hidden="1">Sheet1!$R$30,Sheet1!$T$30,Sheet1!$V$30,Sheet1!$X$30,Sheet1!$Z$30,Sheet1!$AB$30,Sheet1!$AD$30,Sheet1!$AD$31,Sheet1!$AD$32,Sheet1!$AD$33,Sheet1!$AD$34,Sheet1!$AD$35,Sheet1!$AD$37,Sheet1!$AD$38,Sheet1!$F$39,Sheet1!$H$39</definedName>
    <definedName name="QB_FORMULA_5" localSheetId="0" hidden="1">Sheet1!$J$39,Sheet1!$L$39,Sheet1!$N$39,Sheet1!$P$39,Sheet1!$R$39,Sheet1!$T$39,Sheet1!$V$39,Sheet1!$X$39,Sheet1!$Z$39,Sheet1!$AB$39,Sheet1!$AD$39,Sheet1!$AD$40,Sheet1!$AD$41,Sheet1!$AD$42,Sheet1!$AD$43,Sheet1!$AD$44</definedName>
    <definedName name="QB_FORMULA_6" localSheetId="0" hidden="1">Sheet1!$AD$45,Sheet1!$AD$46,Sheet1!$AD$47,Sheet1!$AD$48,Sheet1!$AD$50,Sheet1!$AD$51,Sheet1!$AD$52,Sheet1!$F$53,Sheet1!$H$53,Sheet1!$J$53,Sheet1!$L$53,Sheet1!$N$53,Sheet1!$P$53,Sheet1!$R$53,Sheet1!$T$53,Sheet1!$V$53</definedName>
    <definedName name="QB_FORMULA_7" localSheetId="0" hidden="1">Sheet1!$X$53,Sheet1!$Z$53,Sheet1!$AB$53,Sheet1!$AD$53,Sheet1!$AD$54,Sheet1!$AD$55,Sheet1!$AD$56,Sheet1!$AD$57,Sheet1!$AD$58,Sheet1!$AD$59,Sheet1!$AD$60,Sheet1!$AD$61,Sheet1!$AD$62,Sheet1!$AD$63,Sheet1!$AD$64,Sheet1!$AD$65</definedName>
    <definedName name="QB_FORMULA_8" localSheetId="0" hidden="1">Sheet1!$AD$66,Sheet1!$AD$67,Sheet1!$AD$68,Sheet1!$AD$69,Sheet1!$AD$70,Sheet1!$AD$72,Sheet1!$AD$73,Sheet1!$AD$74,Sheet1!$AD$75,Sheet1!$AD$76,Sheet1!$F$77,Sheet1!$H$77,Sheet1!$J$77,Sheet1!$L$77,Sheet1!$N$77,Sheet1!$P$77</definedName>
    <definedName name="QB_FORMULA_9" localSheetId="0" hidden="1">Sheet1!$R$77,Sheet1!$T$77,Sheet1!$V$77,Sheet1!$X$77,Sheet1!$Z$77,Sheet1!$AB$77,Sheet1!$AD$77,Sheet1!$AD$78,Sheet1!$AD$79,Sheet1!$AD$80,Sheet1!$AD$81,Sheet1!$AD$82,Sheet1!$AD$83,Sheet1!$AD$84,Sheet1!$AD$85,Sheet1!$AD$86</definedName>
    <definedName name="QB_ROW_100230" localSheetId="0" hidden="1">Sheet1!$D$70</definedName>
    <definedName name="QB_ROW_102230" localSheetId="0" hidden="1">Sheet1!$D$79</definedName>
    <definedName name="QB_ROW_104230" localSheetId="0" hidden="1">Sheet1!$D$80</definedName>
    <definedName name="QB_ROW_105230" localSheetId="0" hidden="1">Sheet1!$D$81</definedName>
    <definedName name="QB_ROW_106230" localSheetId="0" hidden="1">Sheet1!$D$82</definedName>
    <definedName name="QB_ROW_107230" localSheetId="0" hidden="1">Sheet1!$D$83</definedName>
    <definedName name="QB_ROW_108230" localSheetId="0" hidden="1">Sheet1!$D$84</definedName>
    <definedName name="QB_ROW_109230" localSheetId="0" hidden="1">Sheet1!$D$85</definedName>
    <definedName name="QB_ROW_111330" localSheetId="0" hidden="1">Sheet1!$D$86</definedName>
    <definedName name="QB_ROW_112230" localSheetId="0" hidden="1">Sheet1!$D$87</definedName>
    <definedName name="QB_ROW_114240" localSheetId="0" hidden="1">Sheet1!$E$107</definedName>
    <definedName name="QB_ROW_115240" localSheetId="0" hidden="1">Sheet1!$E$109</definedName>
    <definedName name="QB_ROW_116240" localSheetId="0" hidden="1">Sheet1!$E$110</definedName>
    <definedName name="QB_ROW_117230" localSheetId="0" hidden="1">Sheet1!$D$113</definedName>
    <definedName name="QB_ROW_118240" localSheetId="0" hidden="1">Sheet1!$E$108</definedName>
    <definedName name="QB_ROW_119230" localSheetId="0" hidden="1">Sheet1!$D$114</definedName>
    <definedName name="QB_ROW_121230" localSheetId="0" hidden="1">Sheet1!$D$115</definedName>
    <definedName name="QB_ROW_122230" localSheetId="0" hidden="1">Sheet1!$D$116</definedName>
    <definedName name="QB_ROW_123230" localSheetId="0" hidden="1">Sheet1!$D$117</definedName>
    <definedName name="QB_ROW_124230" localSheetId="0" hidden="1">Sheet1!$D$118</definedName>
    <definedName name="QB_ROW_128230" localSheetId="0" hidden="1">Sheet1!$D$119</definedName>
    <definedName name="QB_ROW_131030" localSheetId="0" hidden="1">Sheet1!$D$125</definedName>
    <definedName name="QB_ROW_131330" localSheetId="0" hidden="1">Sheet1!$D$128</definedName>
    <definedName name="QB_ROW_132230" localSheetId="0" hidden="1">Sheet1!$D$129</definedName>
    <definedName name="QB_ROW_134030" localSheetId="0" hidden="1">Sheet1!$D$132</definedName>
    <definedName name="QB_ROW_134330" localSheetId="0" hidden="1">Sheet1!$D$134</definedName>
    <definedName name="QB_ROW_143240" localSheetId="0" hidden="1">Sheet1!$E$37</definedName>
    <definedName name="QB_ROW_144230" localSheetId="0" hidden="1">Sheet1!$D$4</definedName>
    <definedName name="QB_ROW_145230" localSheetId="0" hidden="1">Sheet1!$D$68</definedName>
    <definedName name="QB_ROW_146030" localSheetId="0" hidden="1">Sheet1!$D$71</definedName>
    <definedName name="QB_ROW_146240" localSheetId="0" hidden="1">Sheet1!$E$76</definedName>
    <definedName name="QB_ROW_146330" localSheetId="0" hidden="1">Sheet1!$D$77</definedName>
    <definedName name="QB_ROW_147240" localSheetId="0" hidden="1">Sheet1!$E$72</definedName>
    <definedName name="QB_ROW_148030" localSheetId="0" hidden="1">Sheet1!$D$94</definedName>
    <definedName name="QB_ROW_148240" localSheetId="0" hidden="1">Sheet1!$E$96</definedName>
    <definedName name="QB_ROW_148330" localSheetId="0" hidden="1">Sheet1!$D$97</definedName>
    <definedName name="QB_ROW_149030" localSheetId="0" hidden="1">Sheet1!$D$98</definedName>
    <definedName name="QB_ROW_149330" localSheetId="0" hidden="1">Sheet1!$D$105</definedName>
    <definedName name="QB_ROW_150240" localSheetId="0" hidden="1">Sheet1!$E$99</definedName>
    <definedName name="QB_ROW_151240" localSheetId="0" hidden="1">Sheet1!$E$38</definedName>
    <definedName name="QB_ROW_152240" localSheetId="0" hidden="1">Sheet1!$E$100</definedName>
    <definedName name="QB_ROW_157240" localSheetId="0" hidden="1">Sheet1!$E$95</definedName>
    <definedName name="QB_ROW_158240" localSheetId="0" hidden="1">Sheet1!$E$126</definedName>
    <definedName name="QB_ROW_159240" localSheetId="0" hidden="1">Sheet1!$E$127</definedName>
    <definedName name="QB_ROW_160240" localSheetId="0" hidden="1">Sheet1!$E$133</definedName>
    <definedName name="QB_ROW_162240" localSheetId="0" hidden="1">Sheet1!$E$73</definedName>
    <definedName name="QB_ROW_163240" localSheetId="0" hidden="1">Sheet1!$E$74</definedName>
    <definedName name="QB_ROW_164230" localSheetId="0" hidden="1">Sheet1!$D$78</definedName>
    <definedName name="QB_ROW_167240" localSheetId="0" hidden="1">Sheet1!$E$101</definedName>
    <definedName name="QB_ROW_168240" localSheetId="0" hidden="1">Sheet1!$E$102</definedName>
    <definedName name="QB_ROW_170230" localSheetId="0" hidden="1">Sheet1!$D$67</definedName>
    <definedName name="QB_ROW_179230" localSheetId="0" hidden="1">Sheet1!$D$120</definedName>
    <definedName name="QB_ROW_181240" localSheetId="0" hidden="1">Sheet1!$E$19</definedName>
    <definedName name="QB_ROW_182240" localSheetId="0" hidden="1">Sheet1!$E$20</definedName>
    <definedName name="QB_ROW_18301" localSheetId="0" hidden="1">Sheet1!$A$140</definedName>
    <definedName name="QB_ROW_183240" localSheetId="0" hidden="1">Sheet1!$E$21</definedName>
    <definedName name="QB_ROW_184230" localSheetId="0" hidden="1">Sheet1!$D$136</definedName>
    <definedName name="QB_ROW_185030" localSheetId="0" hidden="1">Sheet1!$D$49</definedName>
    <definedName name="QB_ROW_185240" localSheetId="0" hidden="1">Sheet1!$E$52</definedName>
    <definedName name="QB_ROW_185330" localSheetId="0" hidden="1">Sheet1!$D$53</definedName>
    <definedName name="QB_ROW_186230" localSheetId="0" hidden="1">Sheet1!$D$33</definedName>
    <definedName name="QB_ROW_189030" localSheetId="0" hidden="1">Sheet1!$D$88</definedName>
    <definedName name="QB_ROW_189240" localSheetId="0" hidden="1">Sheet1!$E$92</definedName>
    <definedName name="QB_ROW_189330" localSheetId="0" hidden="1">Sheet1!$D$93</definedName>
    <definedName name="QB_ROW_19011" localSheetId="0" hidden="1">Sheet1!$B$2</definedName>
    <definedName name="QB_ROW_190240" localSheetId="0" hidden="1">Sheet1!$E$89</definedName>
    <definedName name="QB_ROW_19311" localSheetId="0" hidden="1">Sheet1!$B$122</definedName>
    <definedName name="QB_ROW_194030" localSheetId="0" hidden="1">Sheet1!$D$106</definedName>
    <definedName name="QB_ROW_194330" localSheetId="0" hidden="1">Sheet1!$D$112</definedName>
    <definedName name="QB_ROW_195240" localSheetId="0" hidden="1">Sheet1!$E$111</definedName>
    <definedName name="QB_ROW_196240" localSheetId="0" hidden="1">Sheet1!$E$26</definedName>
    <definedName name="QB_ROW_197240" localSheetId="0" hidden="1">Sheet1!$E$27</definedName>
    <definedName name="QB_ROW_198240" localSheetId="0" hidden="1">Sheet1!$E$28</definedName>
    <definedName name="QB_ROW_20021" localSheetId="0" hidden="1">Sheet1!$C$3</definedName>
    <definedName name="QB_ROW_200230" localSheetId="0" hidden="1">Sheet1!$D$31</definedName>
    <definedName name="QB_ROW_201240" localSheetId="0" hidden="1">Sheet1!$E$90</definedName>
    <definedName name="QB_ROW_20321" localSheetId="0" hidden="1">Sheet1!$C$7</definedName>
    <definedName name="QB_ROW_21021" localSheetId="0" hidden="1">Sheet1!$C$8</definedName>
    <definedName name="QB_ROW_21030" localSheetId="0" hidden="1">Sheet1!$D$12</definedName>
    <definedName name="QB_ROW_21321" localSheetId="0" hidden="1">Sheet1!$C$121</definedName>
    <definedName name="QB_ROW_21330" localSheetId="0" hidden="1">Sheet1!$D$17</definedName>
    <definedName name="QB_ROW_22011" localSheetId="0" hidden="1">Sheet1!$B$123</definedName>
    <definedName name="QB_ROW_22311" localSheetId="0" hidden="1">Sheet1!$B$139</definedName>
    <definedName name="QB_ROW_224240" localSheetId="0" hidden="1">Sheet1!$E$22</definedName>
    <definedName name="QB_ROW_228230" localSheetId="0" hidden="1">Sheet1!$D$135</definedName>
    <definedName name="QB_ROW_23021" localSheetId="0" hidden="1">Sheet1!$C$124</definedName>
    <definedName name="QB_ROW_23321" localSheetId="0" hidden="1">Sheet1!$C$130</definedName>
    <definedName name="QB_ROW_234240" localSheetId="0" hidden="1">Sheet1!$E$103</definedName>
    <definedName name="QB_ROW_235240" localSheetId="0" hidden="1">Sheet1!$E$23</definedName>
    <definedName name="QB_ROW_236230" localSheetId="0" hidden="1">Sheet1!$D$54</definedName>
    <definedName name="QB_ROW_237240" localSheetId="0" hidden="1">Sheet1!$E$91</definedName>
    <definedName name="QB_ROW_239240" localSheetId="0" hidden="1">Sheet1!$E$75</definedName>
    <definedName name="QB_ROW_24021" localSheetId="0" hidden="1">Sheet1!$C$131</definedName>
    <definedName name="QB_ROW_240230" localSheetId="0" hidden="1">Sheet1!$D$10</definedName>
    <definedName name="QB_ROW_241240" localSheetId="0" hidden="1">Sheet1!$E$13</definedName>
    <definedName name="QB_ROW_24321" localSheetId="0" hidden="1">Sheet1!$C$138</definedName>
    <definedName name="QB_ROW_243240" localSheetId="0" hidden="1">Sheet1!$E$14</definedName>
    <definedName name="QB_ROW_244240" localSheetId="0" hidden="1">Sheet1!$E$104</definedName>
    <definedName name="QB_ROW_245240" localSheetId="0" hidden="1">Sheet1!$E$15</definedName>
    <definedName name="QB_ROW_248240" localSheetId="0" hidden="1">Sheet1!$E$50</definedName>
    <definedName name="QB_ROW_249240" localSheetId="0" hidden="1">Sheet1!$E$16</definedName>
    <definedName name="QB_ROW_250240" localSheetId="0" hidden="1">Sheet1!$E$51</definedName>
    <definedName name="QB_ROW_37230" localSheetId="0" hidden="1">Sheet1!$D$137</definedName>
    <definedName name="QB_ROW_48230" localSheetId="0" hidden="1">Sheet1!$D$5</definedName>
    <definedName name="QB_ROW_52230" localSheetId="0" hidden="1">Sheet1!$D$6</definedName>
    <definedName name="QB_ROW_54230" localSheetId="0" hidden="1">Sheet1!$D$9</definedName>
    <definedName name="QB_ROW_55230" localSheetId="0" hidden="1">Sheet1!$D$11</definedName>
    <definedName name="QB_ROW_57030" localSheetId="0" hidden="1">Sheet1!$D$18</definedName>
    <definedName name="QB_ROW_57330" localSheetId="0" hidden="1">Sheet1!$D$24</definedName>
    <definedName name="QB_ROW_58030" localSheetId="0" hidden="1">Sheet1!$D$25</definedName>
    <definedName name="QB_ROW_58240" localSheetId="0" hidden="1">Sheet1!$E$29</definedName>
    <definedName name="QB_ROW_58330" localSheetId="0" hidden="1">Sheet1!$D$30</definedName>
    <definedName name="QB_ROW_63230" localSheetId="0" hidden="1">Sheet1!$D$32</definedName>
    <definedName name="QB_ROW_65230" localSheetId="0" hidden="1">Sheet1!$D$34</definedName>
    <definedName name="QB_ROW_66230" localSheetId="0" hidden="1">Sheet1!$D$35</definedName>
    <definedName name="QB_ROW_67030" localSheetId="0" hidden="1">Sheet1!$D$36</definedName>
    <definedName name="QB_ROW_67330" localSheetId="0" hidden="1">Sheet1!$D$39</definedName>
    <definedName name="QB_ROW_69230" localSheetId="0" hidden="1">Sheet1!$D$40</definedName>
    <definedName name="QB_ROW_70230" localSheetId="0" hidden="1">Sheet1!$D$41</definedName>
    <definedName name="QB_ROW_71230" localSheetId="0" hidden="1">Sheet1!$D$42</definedName>
    <definedName name="QB_ROW_72230" localSheetId="0" hidden="1">Sheet1!$D$43</definedName>
    <definedName name="QB_ROW_73230" localSheetId="0" hidden="1">Sheet1!$D$44</definedName>
    <definedName name="QB_ROW_74230" localSheetId="0" hidden="1">Sheet1!$D$45</definedName>
    <definedName name="QB_ROW_76230" localSheetId="0" hidden="1">Sheet1!$D$46</definedName>
    <definedName name="QB_ROW_77230" localSheetId="0" hidden="1">Sheet1!$D$47</definedName>
    <definedName name="QB_ROW_78230" localSheetId="0" hidden="1">Sheet1!$D$48</definedName>
    <definedName name="QB_ROW_81230" localSheetId="0" hidden="1">Sheet1!$D$55</definedName>
    <definedName name="QB_ROW_82230" localSheetId="0" hidden="1">Sheet1!$D$56</definedName>
    <definedName name="QB_ROW_83230" localSheetId="0" hidden="1">Sheet1!$D$57</definedName>
    <definedName name="QB_ROW_84230" localSheetId="0" hidden="1">Sheet1!$D$58</definedName>
    <definedName name="QB_ROW_85230" localSheetId="0" hidden="1">Sheet1!$D$59</definedName>
    <definedName name="QB_ROW_87230" localSheetId="0" hidden="1">Sheet1!$D$60</definedName>
    <definedName name="QB_ROW_92230" localSheetId="0" hidden="1">Sheet1!$D$61</definedName>
    <definedName name="QB_ROW_93230" localSheetId="0" hidden="1">Sheet1!$D$62</definedName>
    <definedName name="QB_ROW_94230" localSheetId="0" hidden="1">Sheet1!$D$63</definedName>
    <definedName name="QB_ROW_95230" localSheetId="0" hidden="1">Sheet1!$D$64</definedName>
    <definedName name="QB_ROW_97230" localSheetId="0" hidden="1">Sheet1!$D$65</definedName>
    <definedName name="QB_ROW_98230" localSheetId="0" hidden="1">Sheet1!$D$66</definedName>
    <definedName name="QB_ROW_99230" localSheetId="0" hidden="1">Sheet1!$D$69</definedName>
    <definedName name="QBCANSUPPORTUPDATE" localSheetId="0">TRUE</definedName>
    <definedName name="QBCOMPANYFILENAME" localSheetId="0">"C:\Users\Public\Documents\Intuit\QuickBooks\Company Files\NEW YORK DERMATOLOGY GROUP.qbw"</definedName>
    <definedName name="QBENDDATE" localSheetId="0">20251231</definedName>
    <definedName name="QBHEADERSONSCREEN" localSheetId="0">FALSE</definedName>
    <definedName name="QBMETADATASIZE" localSheetId="0">5964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6</definedName>
    <definedName name="QBREPORTCOMPANYID" localSheetId="0">"2177279c34de46b89d606b9f049cccd6"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5</definedName>
    <definedName name="QBSTARTDATE" localSheetId="0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0" i="1" l="1"/>
  <c r="AB140" i="1"/>
  <c r="Z140" i="1"/>
  <c r="X140" i="1"/>
  <c r="V140" i="1"/>
  <c r="T140" i="1"/>
  <c r="R140" i="1"/>
  <c r="P140" i="1"/>
  <c r="N140" i="1"/>
  <c r="L140" i="1"/>
  <c r="J140" i="1"/>
  <c r="H140" i="1"/>
  <c r="F140" i="1"/>
  <c r="AD139" i="1"/>
  <c r="AB139" i="1"/>
  <c r="Z139" i="1"/>
  <c r="X139" i="1"/>
  <c r="V139" i="1"/>
  <c r="T139" i="1"/>
  <c r="R139" i="1"/>
  <c r="P139" i="1"/>
  <c r="N139" i="1"/>
  <c r="L139" i="1"/>
  <c r="J139" i="1"/>
  <c r="H139" i="1"/>
  <c r="F139" i="1"/>
  <c r="AD138" i="1"/>
  <c r="AB138" i="1"/>
  <c r="Z138" i="1"/>
  <c r="X138" i="1"/>
  <c r="V138" i="1"/>
  <c r="T138" i="1"/>
  <c r="R138" i="1"/>
  <c r="P138" i="1"/>
  <c r="N138" i="1"/>
  <c r="L138" i="1"/>
  <c r="J138" i="1"/>
  <c r="H138" i="1"/>
  <c r="F138" i="1"/>
  <c r="AD137" i="1"/>
  <c r="AD136" i="1"/>
  <c r="AD135" i="1"/>
  <c r="AD134" i="1"/>
  <c r="AB134" i="1"/>
  <c r="Z134" i="1"/>
  <c r="X134" i="1"/>
  <c r="V134" i="1"/>
  <c r="T134" i="1"/>
  <c r="R134" i="1"/>
  <c r="P134" i="1"/>
  <c r="N134" i="1"/>
  <c r="L134" i="1"/>
  <c r="J134" i="1"/>
  <c r="H134" i="1"/>
  <c r="F134" i="1"/>
  <c r="AD133" i="1"/>
  <c r="AD130" i="1"/>
  <c r="AB130" i="1"/>
  <c r="Z130" i="1"/>
  <c r="X130" i="1"/>
  <c r="V130" i="1"/>
  <c r="T130" i="1"/>
  <c r="R130" i="1"/>
  <c r="P130" i="1"/>
  <c r="N130" i="1"/>
  <c r="L130" i="1"/>
  <c r="J130" i="1"/>
  <c r="H130" i="1"/>
  <c r="F130" i="1"/>
  <c r="AD129" i="1"/>
  <c r="AD128" i="1"/>
  <c r="AB128" i="1"/>
  <c r="Z128" i="1"/>
  <c r="X128" i="1"/>
  <c r="V128" i="1"/>
  <c r="T128" i="1"/>
  <c r="R128" i="1"/>
  <c r="P128" i="1"/>
  <c r="N128" i="1"/>
  <c r="L128" i="1"/>
  <c r="J128" i="1"/>
  <c r="H128" i="1"/>
  <c r="F128" i="1"/>
  <c r="AD127" i="1"/>
  <c r="AD126" i="1"/>
  <c r="AD122" i="1"/>
  <c r="AB122" i="1"/>
  <c r="Z122" i="1"/>
  <c r="X122" i="1"/>
  <c r="V122" i="1"/>
  <c r="T122" i="1"/>
  <c r="R122" i="1"/>
  <c r="P122" i="1"/>
  <c r="N122" i="1"/>
  <c r="L122" i="1"/>
  <c r="J122" i="1"/>
  <c r="H122" i="1"/>
  <c r="F122" i="1"/>
  <c r="AD121" i="1"/>
  <c r="AB121" i="1"/>
  <c r="Z121" i="1"/>
  <c r="X121" i="1"/>
  <c r="V121" i="1"/>
  <c r="T121" i="1"/>
  <c r="R121" i="1"/>
  <c r="P121" i="1"/>
  <c r="N121" i="1"/>
  <c r="L121" i="1"/>
  <c r="J121" i="1"/>
  <c r="H121" i="1"/>
  <c r="F121" i="1"/>
  <c r="AD120" i="1"/>
  <c r="AD119" i="1"/>
  <c r="AD118" i="1"/>
  <c r="AD117" i="1"/>
  <c r="AD116" i="1"/>
  <c r="AD115" i="1"/>
  <c r="AD114" i="1"/>
  <c r="AD113" i="1"/>
  <c r="AD112" i="1"/>
  <c r="AB112" i="1"/>
  <c r="Z112" i="1"/>
  <c r="X112" i="1"/>
  <c r="V112" i="1"/>
  <c r="T112" i="1"/>
  <c r="R112" i="1"/>
  <c r="P112" i="1"/>
  <c r="N112" i="1"/>
  <c r="L112" i="1"/>
  <c r="J112" i="1"/>
  <c r="H112" i="1"/>
  <c r="F112" i="1"/>
  <c r="AD111" i="1"/>
  <c r="AD110" i="1"/>
  <c r="AD109" i="1"/>
  <c r="AD108" i="1"/>
  <c r="AD107" i="1"/>
  <c r="AD105" i="1"/>
  <c r="AB105" i="1"/>
  <c r="Z105" i="1"/>
  <c r="X105" i="1"/>
  <c r="V105" i="1"/>
  <c r="T105" i="1"/>
  <c r="R105" i="1"/>
  <c r="P105" i="1"/>
  <c r="N105" i="1"/>
  <c r="L105" i="1"/>
  <c r="J105" i="1"/>
  <c r="H105" i="1"/>
  <c r="F105" i="1"/>
  <c r="AD104" i="1"/>
  <c r="AD103" i="1"/>
  <c r="AD102" i="1"/>
  <c r="AD101" i="1"/>
  <c r="AD100" i="1"/>
  <c r="AD99" i="1"/>
  <c r="AD97" i="1"/>
  <c r="AB97" i="1"/>
  <c r="Z97" i="1"/>
  <c r="X97" i="1"/>
  <c r="V97" i="1"/>
  <c r="T97" i="1"/>
  <c r="R97" i="1"/>
  <c r="P97" i="1"/>
  <c r="N97" i="1"/>
  <c r="L97" i="1"/>
  <c r="J97" i="1"/>
  <c r="H97" i="1"/>
  <c r="F97" i="1"/>
  <c r="AD96" i="1"/>
  <c r="AD95" i="1"/>
  <c r="AD93" i="1"/>
  <c r="AB93" i="1"/>
  <c r="Z93" i="1"/>
  <c r="X93" i="1"/>
  <c r="V93" i="1"/>
  <c r="T93" i="1"/>
  <c r="R93" i="1"/>
  <c r="P93" i="1"/>
  <c r="N93" i="1"/>
  <c r="L93" i="1"/>
  <c r="J93" i="1"/>
  <c r="H93" i="1"/>
  <c r="F93" i="1"/>
  <c r="AD92" i="1"/>
  <c r="AD91" i="1"/>
  <c r="AD90" i="1"/>
  <c r="AD89" i="1"/>
  <c r="AD87" i="1"/>
  <c r="AD86" i="1"/>
  <c r="AD85" i="1"/>
  <c r="AD84" i="1"/>
  <c r="AD83" i="1"/>
  <c r="AD82" i="1"/>
  <c r="AD81" i="1"/>
  <c r="AD80" i="1"/>
  <c r="AD79" i="1"/>
  <c r="AD78" i="1"/>
  <c r="AD77" i="1"/>
  <c r="AB77" i="1"/>
  <c r="Z77" i="1"/>
  <c r="X77" i="1"/>
  <c r="V77" i="1"/>
  <c r="T77" i="1"/>
  <c r="R77" i="1"/>
  <c r="P77" i="1"/>
  <c r="N77" i="1"/>
  <c r="L77" i="1"/>
  <c r="J77" i="1"/>
  <c r="H77" i="1"/>
  <c r="F77" i="1"/>
  <c r="AD76" i="1"/>
  <c r="AD75" i="1"/>
  <c r="AD74" i="1"/>
  <c r="AD73" i="1"/>
  <c r="AD72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AD52" i="1"/>
  <c r="AD51" i="1"/>
  <c r="AD50" i="1"/>
  <c r="AD48" i="1"/>
  <c r="AD47" i="1"/>
  <c r="AD46" i="1"/>
  <c r="AD45" i="1"/>
  <c r="AD44" i="1"/>
  <c r="AD43" i="1"/>
  <c r="AD42" i="1"/>
  <c r="AD41" i="1"/>
  <c r="AD40" i="1"/>
  <c r="AD39" i="1"/>
  <c r="AB39" i="1"/>
  <c r="Z39" i="1"/>
  <c r="X39" i="1"/>
  <c r="V39" i="1"/>
  <c r="T39" i="1"/>
  <c r="R39" i="1"/>
  <c r="P39" i="1"/>
  <c r="N39" i="1"/>
  <c r="L39" i="1"/>
  <c r="J39" i="1"/>
  <c r="H39" i="1"/>
  <c r="F39" i="1"/>
  <c r="AD38" i="1"/>
  <c r="AD37" i="1"/>
  <c r="AD35" i="1"/>
  <c r="AD34" i="1"/>
  <c r="AD33" i="1"/>
  <c r="AD32" i="1"/>
  <c r="AD31" i="1"/>
  <c r="AD30" i="1"/>
  <c r="AB30" i="1"/>
  <c r="Z30" i="1"/>
  <c r="X30" i="1"/>
  <c r="V30" i="1"/>
  <c r="T30" i="1"/>
  <c r="R30" i="1"/>
  <c r="P30" i="1"/>
  <c r="N30" i="1"/>
  <c r="L30" i="1"/>
  <c r="J30" i="1"/>
  <c r="H30" i="1"/>
  <c r="F30" i="1"/>
  <c r="AD29" i="1"/>
  <c r="AD28" i="1"/>
  <c r="AD27" i="1"/>
  <c r="AD26" i="1"/>
  <c r="AD24" i="1"/>
  <c r="AB24" i="1"/>
  <c r="Z24" i="1"/>
  <c r="X24" i="1"/>
  <c r="V24" i="1"/>
  <c r="T24" i="1"/>
  <c r="R24" i="1"/>
  <c r="P24" i="1"/>
  <c r="N24" i="1"/>
  <c r="L24" i="1"/>
  <c r="J24" i="1"/>
  <c r="H24" i="1"/>
  <c r="F24" i="1"/>
  <c r="AD23" i="1"/>
  <c r="AD22" i="1"/>
  <c r="AD21" i="1"/>
  <c r="AD20" i="1"/>
  <c r="AD19" i="1"/>
  <c r="AD17" i="1"/>
  <c r="AB17" i="1"/>
  <c r="Z17" i="1"/>
  <c r="X17" i="1"/>
  <c r="V17" i="1"/>
  <c r="T17" i="1"/>
  <c r="R17" i="1"/>
  <c r="P17" i="1"/>
  <c r="N17" i="1"/>
  <c r="L17" i="1"/>
  <c r="J17" i="1"/>
  <c r="H17" i="1"/>
  <c r="F17" i="1"/>
  <c r="AD16" i="1"/>
  <c r="AD15" i="1"/>
  <c r="AD14" i="1"/>
  <c r="AD13" i="1"/>
  <c r="AD11" i="1"/>
  <c r="AD10" i="1"/>
  <c r="AD9" i="1"/>
  <c r="AD7" i="1"/>
  <c r="AB7" i="1"/>
  <c r="Z7" i="1"/>
  <c r="X7" i="1"/>
  <c r="V7" i="1"/>
  <c r="T7" i="1"/>
  <c r="R7" i="1"/>
  <c r="P7" i="1"/>
  <c r="N7" i="1"/>
  <c r="L7" i="1"/>
  <c r="J7" i="1"/>
  <c r="H7" i="1"/>
  <c r="F7" i="1"/>
  <c r="AD6" i="1"/>
  <c r="AD5" i="1"/>
  <c r="AD4" i="1"/>
</calcChain>
</file>

<file path=xl/sharedStrings.xml><?xml version="1.0" encoding="utf-8"?>
<sst xmlns="http://schemas.openxmlformats.org/spreadsheetml/2006/main" count="152" uniqueCount="152">
  <si>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</si>
  <si>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</si>
  <si>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</si>
  <si>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</si>
  <si>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</si>
  <si>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</si>
  <si>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</si>
  <si>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</si>
  <si>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</si>
  <si>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</si>
  <si>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</si>
  <si>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</si>
  <si>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TOTAL</t>
  </si>
  <si>
    <t>Ordinary Income/Expense</t>
  </si>
  <si>
    <t>Income</t>
  </si>
  <si>
    <t>1000 · PATIENT REVENUE</t>
  </si>
  <si>
    <t>1030 · OTHER INCOME -ALLERGAN/GALDERMA</t>
  </si>
  <si>
    <t>1090 · NSF CHECKS</t>
  </si>
  <si>
    <t>Total Income</t>
  </si>
  <si>
    <t>Expense</t>
  </si>
  <si>
    <t>1095 · CREDIT CARD MERCHANT FEES</t>
  </si>
  <si>
    <t>1096 · CREDIT CARD YEARLY DUES</t>
  </si>
  <si>
    <t>1100 · RENT EXPENSE</t>
  </si>
  <si>
    <t>1180 · INTEREST EXPENSE</t>
  </si>
  <si>
    <t>1180.01 · AMEX</t>
  </si>
  <si>
    <t>1180.02 · COMMERCIAL RENT TAX</t>
  </si>
  <si>
    <t>1180.03 · CHASE INK VISA</t>
  </si>
  <si>
    <t>1180.04 · BofA LOAN</t>
  </si>
  <si>
    <t>Total 1180 · INTEREST EXPENSE</t>
  </si>
  <si>
    <t>1200 · MALPRACTICE INSURANCE</t>
  </si>
  <si>
    <t>1201 · BELKIN</t>
  </si>
  <si>
    <t>1202 · COLBERT</t>
  </si>
  <si>
    <t>1203 · MD PC</t>
  </si>
  <si>
    <t>1204 · GLICK</t>
  </si>
  <si>
    <t>1205 · CELEBI</t>
  </si>
  <si>
    <t>Total 1200 · MALPRACTICE INSURANCE</t>
  </si>
  <si>
    <t>1210 · HEALTH INSURANCE - EMPLOYEES</t>
  </si>
  <si>
    <t>1210.10 · DENTAL</t>
  </si>
  <si>
    <t>1210.11 · MEDICAL</t>
  </si>
  <si>
    <t>1210.12 · VISION</t>
  </si>
  <si>
    <t>1210 · HEALTH INSURANCE - EMPLOYEES - Other</t>
  </si>
  <si>
    <t>Total 1210 · HEALTH INSURANCE - EMPLOYEES</t>
  </si>
  <si>
    <t>1212 · COMMUTER BENEFIT</t>
  </si>
  <si>
    <t>1225 · BUSINESS OWNERS INSURANCE</t>
  </si>
  <si>
    <t>1226 · LIFE INSURANCE - NOT OFFICER</t>
  </si>
  <si>
    <t>1240 · WORKERS COMP &amp; DISABILITY</t>
  </si>
  <si>
    <t>1255 · POSTAGE EXPENSE</t>
  </si>
  <si>
    <t>1275 · UTILITIES EXPENSE</t>
  </si>
  <si>
    <t>1275.01 · TELEPHONE</t>
  </si>
  <si>
    <t>1275.02 · ELECTRIC &amp; GAS</t>
  </si>
  <si>
    <t>Total 1275 · UTILITIES EXPENSE</t>
  </si>
  <si>
    <t>1350 · MEDICAL SUPPLIES</t>
  </si>
  <si>
    <t>1351 · COSMETIC SUPPLIES</t>
  </si>
  <si>
    <t>1355 · MEDICAL WASTE DISPOSAL</t>
  </si>
  <si>
    <t>1380 · UNIFORMS</t>
  </si>
  <si>
    <t>1400 · OFFICE SUPPLIES &amp; EXPENSES</t>
  </si>
  <si>
    <t>1401 · OFFICE EXPENSE - STAFF MEALS</t>
  </si>
  <si>
    <t>1405 · OFFICE CLEANING EXPENSE</t>
  </si>
  <si>
    <t>1410 · ELECTRONIC MEDICAL RECORDS</t>
  </si>
  <si>
    <t>1410.01 · EPRESCRIBE SOFTWARE</t>
  </si>
  <si>
    <t>1412 · COMPLIANCE ASSISTANCE</t>
  </si>
  <si>
    <t>1412.01 · WEB SITE COMPLIANCE</t>
  </si>
  <si>
    <t>1412.02 · LABORATORY COMPLIANCE</t>
  </si>
  <si>
    <t>1412 · COMPLIANCE ASSISTANCE - Other</t>
  </si>
  <si>
    <t>Total 1412 · COMPLIANCE ASSISTANCE</t>
  </si>
  <si>
    <t>1414 · INSURANCE CLEARING HOUSE</t>
  </si>
  <si>
    <t>1426 · COMPUTER EXP - INTERNET</t>
  </si>
  <si>
    <t>1427 · COMPUTER EXP - OTHER</t>
  </si>
  <si>
    <t>1430 · SOFTWARE EXPENSE</t>
  </si>
  <si>
    <t>1435 · WEB SITE EXPENSE</t>
  </si>
  <si>
    <t>1440 · WEB HOSTING EXPENSE</t>
  </si>
  <si>
    <t>1450 · PROFESSIONAL DUES</t>
  </si>
  <si>
    <t>1480 · PROFESSIONAL CONFERENCE FEES</t>
  </si>
  <si>
    <t>1485 · PROFESSIONAL LICENSE</t>
  </si>
  <si>
    <t>1490 · PROFESSIONAL TRAINING - MBSR</t>
  </si>
  <si>
    <t>1495 · PROFESSIONAL FEES - EDUCATION</t>
  </si>
  <si>
    <t>1575 · EQUIPMENT LEASE</t>
  </si>
  <si>
    <t>1600 · REPAIRS &amp; MAINTENANCE</t>
  </si>
  <si>
    <t>1601 · EQUIPMENT R &amp; M</t>
  </si>
  <si>
    <t>1650 · ADVERTISING &amp; MARKETING</t>
  </si>
  <si>
    <t>1665 · TRANSPORTATION - LOCAL</t>
  </si>
  <si>
    <t>1700 · BUSINESS GIFTS</t>
  </si>
  <si>
    <t>1730 · AUTO EXPENSES</t>
  </si>
  <si>
    <t>1730.01 · TOLLS</t>
  </si>
  <si>
    <t>1730.02 · INSURANCE</t>
  </si>
  <si>
    <t>1730.03 · PARKING</t>
  </si>
  <si>
    <t>1730.04 · REGISTRATION</t>
  </si>
  <si>
    <t>1730 · AUTO EXPENSES - Other</t>
  </si>
  <si>
    <t>Total 1730 · AUTO EXPENSES</t>
  </si>
  <si>
    <t>1731 · AUTO LEASE</t>
  </si>
  <si>
    <t>1750 · TRAVEL OUT-OF-TOWN</t>
  </si>
  <si>
    <t>1770 · CONSULTING FEES</t>
  </si>
  <si>
    <t>1800 · ACCOUNTING FEES</t>
  </si>
  <si>
    <t>1801 · BOOKKEEPING FEES</t>
  </si>
  <si>
    <t>1802 · MEDICAL BILLING</t>
  </si>
  <si>
    <t>1820 · LEGAL FEES</t>
  </si>
  <si>
    <t>1850 · BANK CHARGES</t>
  </si>
  <si>
    <t>1910 · PAYROLL FEES</t>
  </si>
  <si>
    <t>1955 · SALARY - EMPLOYEES</t>
  </si>
  <si>
    <t>1960 · SALARY - DOCTORS</t>
  </si>
  <si>
    <t>1960.01 · BELKIN</t>
  </si>
  <si>
    <t>1960.02 · GLICK</t>
  </si>
  <si>
    <t>1960.03 · CELEBI</t>
  </si>
  <si>
    <t>1960 · SALARY - DOCTORS - Other</t>
  </si>
  <si>
    <t>Total 1960 · SALARY - DOCTORS</t>
  </si>
  <si>
    <t>1990 · INDEPENDENT CONTRACTORS</t>
  </si>
  <si>
    <t>1990.02 · CARLIN, BRADFORD</t>
  </si>
  <si>
    <t>1990 · INDEPENDENT CONTRACTORS - Other</t>
  </si>
  <si>
    <t>Total 1990 · INDEPENDENT CONTRACTORS</t>
  </si>
  <si>
    <t>1991 · MEDICAL PROVIDERS - 1099</t>
  </si>
  <si>
    <t>1991.01 · CC DERMATOLOGY PLLC</t>
  </si>
  <si>
    <t>1991.02 · PERLMUTTER</t>
  </si>
  <si>
    <t>1991.04 · IYER</t>
  </si>
  <si>
    <t>1991.05 · RODRIGUEZ</t>
  </si>
  <si>
    <t>1991.06 · PUZA</t>
  </si>
  <si>
    <t>1991.07 · KIM</t>
  </si>
  <si>
    <t>Total 1991 · MEDICAL PROVIDERS - 1099</t>
  </si>
  <si>
    <t>2000 · PAYROLL TAXES</t>
  </si>
  <si>
    <t>2000.01 · TAXES - FICA</t>
  </si>
  <si>
    <t>2000.02 · TAXES - FUTA</t>
  </si>
  <si>
    <t>2000.03 · TAXES - NY SUI</t>
  </si>
  <si>
    <t>2000.04 · TAXES - NY SUI SURCHARGE</t>
  </si>
  <si>
    <t>2000.06 · MCTMT</t>
  </si>
  <si>
    <t>Total 2000 · PAYROLL TAXES</t>
  </si>
  <si>
    <t>2035 · TAXES - NY PAID FAMILY LEAVE</t>
  </si>
  <si>
    <t>2045 · NYC COMMERICAL RENT TAX EXPENSE</t>
  </si>
  <si>
    <t>2052 · PTET TAX EXPENSE</t>
  </si>
  <si>
    <t>2055 · NYS 3M/4M TAX</t>
  </si>
  <si>
    <t>2060 · NYC CORPORATION TAX</t>
  </si>
  <si>
    <t>2065 · NYS SALES TAX</t>
  </si>
  <si>
    <t>4000 · CHARITABLE CONTRIBUTIONS</t>
  </si>
  <si>
    <t>69800 · Uncategorized Expenses</t>
  </si>
  <si>
    <t>Total Expense</t>
  </si>
  <si>
    <t>Net Ordinary Income</t>
  </si>
  <si>
    <t>Other Income/Expense</t>
  </si>
  <si>
    <t>Other Income</t>
  </si>
  <si>
    <t>1035 · OTHER INCOME</t>
  </si>
  <si>
    <t>1035.01 · GALDERMA REBATES</t>
  </si>
  <si>
    <t>1035.02 · ALLERGAN REBATES</t>
  </si>
  <si>
    <t>Total 1035 · OTHER INCOME</t>
  </si>
  <si>
    <t>1050 · CREDIT CARD REBATES</t>
  </si>
  <si>
    <t>Total Other Income</t>
  </si>
  <si>
    <t>Other Expense</t>
  </si>
  <si>
    <t>5000 · SCHEDULE M ADJ/NON DEDUC. EXP</t>
  </si>
  <si>
    <t>5000.01 · LIFE INS D COLBERT</t>
  </si>
  <si>
    <t>Total 5000 · SCHEDULE M ADJ/NON DEDUC. EXP</t>
  </si>
  <si>
    <t>5200 · PENALTIES</t>
  </si>
  <si>
    <t>9997 · LOANS/PAYMENTS TO BE IDENTIFIED</t>
  </si>
  <si>
    <t>9999 · Ask My Accountant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</si>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</sst>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2858-44DC-4E7B-B093-C62B1E041A3D}">
  <dimension ref="A1:AD141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4" width="3" style="14" customWidth="1"/>
    <col min="5" max="5" width="38.28515625" style="14" customWidth="1"/>
    <col min="6" max="6" width="10" style="15" bestFit="1" customWidth="1"/>
    <col min="7" max="7" width="2.28515625" style="15" customWidth="1"/>
    <col min="8" max="8" width="10" style="15" bestFit="1" customWidth="1"/>
    <col min="9" max="9" width="2.28515625" style="15" customWidth="1"/>
    <col min="10" max="10" width="10" style="15" bestFit="1" customWidth="1"/>
    <col min="11" max="11" width="2.28515625" style="15" customWidth="1"/>
    <col min="12" max="12" width="10" style="15" bestFit="1" customWidth="1"/>
    <col min="13" max="13" width="2.28515625" style="15" customWidth="1"/>
    <col min="14" max="14" width="10" style="15" bestFit="1" customWidth="1"/>
    <col min="15" max="15" width="2.28515625" style="15" customWidth="1"/>
    <col min="16" max="16" width="10" style="15" bestFit="1" customWidth="1"/>
    <col min="17" max="17" width="2.28515625" style="15" customWidth="1"/>
    <col min="18" max="18" width="10" style="15" bestFit="1" customWidth="1"/>
    <col min="19" max="19" width="2.28515625" style="15" customWidth="1"/>
    <col min="20" max="20" width="10" style="15" bestFit="1" customWidth="1"/>
    <col min="21" max="21" width="2.28515625" style="15" customWidth="1"/>
    <col min="22" max="22" width="10" style="15" bestFit="1" customWidth="1"/>
    <col min="23" max="23" width="2.28515625" style="15" customWidth="1"/>
    <col min="24" max="24" width="10" style="15" bestFit="1" customWidth="1"/>
    <col min="25" max="25" width="2.28515625" style="15" customWidth="1"/>
    <col min="26" max="26" width="10" style="15" bestFit="1" customWidth="1"/>
    <col min="27" max="27" width="2.28515625" style="15" customWidth="1"/>
    <col min="28" max="28" width="10" style="15" bestFit="1" customWidth="1"/>
    <col min="29" max="29" width="2.28515625" style="15" customWidth="1"/>
    <col min="30" max="30" width="10.85546875" style="15" bestFit="1" customWidth="1"/>
  </cols>
  <sheetData>
    <row r="1" spans="1:30" s="13" customFormat="1" ht="15.75" thickBot="1" x14ac:dyDescent="0.3">
      <c r="A1" s="10"/>
      <c r="B1" s="10"/>
      <c r="C1" s="10"/>
      <c r="D1" s="10"/>
      <c r="E1" s="10"/>
      <c r="F1" s="11" t="s">
        <v>0</v>
      </c>
      <c r="G1" s="12"/>
      <c r="H1" s="11" t="s">
        <v>1</v>
      </c>
      <c r="I1" s="12"/>
      <c r="J1" s="11" t="s">
        <v>2</v>
      </c>
      <c r="K1" s="12"/>
      <c r="L1" s="11" t="s">
        <v>3</v>
      </c>
      <c r="M1" s="12"/>
      <c r="N1" s="11" t="s">
        <v>4</v>
      </c>
      <c r="O1" s="12"/>
      <c r="P1" s="11" t="s">
        <v>5</v>
      </c>
      <c r="Q1" s="12"/>
      <c r="R1" s="11" t="s">
        <v>6</v>
      </c>
      <c r="S1" s="12"/>
      <c r="T1" s="11" t="s">
        <v>7</v>
      </c>
      <c r="U1" s="12"/>
      <c r="V1" s="11" t="s">
        <v>8</v>
      </c>
      <c r="W1" s="12"/>
      <c r="X1" s="11" t="s">
        <v>9</v>
      </c>
      <c r="Y1" s="12"/>
      <c r="Z1" s="11" t="s">
        <v>10</v>
      </c>
      <c r="AA1" s="12"/>
      <c r="AB1" s="11" t="s">
        <v>11</v>
      </c>
      <c r="AC1" s="12"/>
      <c r="AD1" s="11" t="s">
        <v>12</v>
      </c>
    </row>
    <row r="2" spans="1:30" ht="15.75" thickTop="1" x14ac:dyDescent="0.25">
      <c r="A2" s="1"/>
      <c r="B2" s="1" t="s">
        <v>13</v>
      </c>
      <c r="C2" s="1"/>
      <c r="D2" s="1"/>
      <c r="E2" s="1"/>
      <c r="F2" s="2"/>
      <c r="G2" s="3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2"/>
      <c r="AC2" s="3"/>
      <c r="AD2" s="2"/>
    </row>
    <row r="3" spans="1:30" x14ac:dyDescent="0.25">
      <c r="A3" s="1"/>
      <c r="B3" s="1"/>
      <c r="C3" s="1" t="s">
        <v>14</v>
      </c>
      <c r="D3" s="1"/>
      <c r="E3" s="1"/>
      <c r="F3" s="2"/>
      <c r="G3" s="3"/>
      <c r="H3" s="2"/>
      <c r="I3" s="3"/>
      <c r="J3" s="2"/>
      <c r="K3" s="3"/>
      <c r="L3" s="2"/>
      <c r="M3" s="3"/>
      <c r="N3" s="2"/>
      <c r="O3" s="3"/>
      <c r="P3" s="2"/>
      <c r="Q3" s="3"/>
      <c r="R3" s="2"/>
      <c r="S3" s="3"/>
      <c r="T3" s="2"/>
      <c r="U3" s="3"/>
      <c r="V3" s="2"/>
      <c r="W3" s="3"/>
      <c r="X3" s="2"/>
      <c r="Y3" s="3"/>
      <c r="Z3" s="2"/>
      <c r="AA3" s="3"/>
      <c r="AB3" s="2"/>
      <c r="AC3" s="3"/>
      <c r="AD3" s="2"/>
    </row>
    <row r="4" spans="1:30" x14ac:dyDescent="0.25">
      <c r="A4" s="1"/>
      <c r="B4" s="1"/>
      <c r="C4" s="1"/>
      <c r="D4" s="1" t="s">
        <v>15</v>
      </c>
      <c r="E4" s="1"/>
      <c r="F4" s="2">
        <v>1051979.57</v>
      </c>
      <c r="G4" s="3"/>
      <c r="H4" s="2">
        <v>1036348.27</v>
      </c>
      <c r="I4" s="3"/>
      <c r="J4" s="2">
        <v>1001351.98</v>
      </c>
      <c r="K4" s="3"/>
      <c r="L4" s="2">
        <v>1204551.6200000001</v>
      </c>
      <c r="M4" s="3"/>
      <c r="N4" s="2">
        <v>1249147.94</v>
      </c>
      <c r="O4" s="3"/>
      <c r="P4" s="2">
        <v>1142616.68</v>
      </c>
      <c r="Q4" s="3"/>
      <c r="R4" s="2">
        <v>1020521.24</v>
      </c>
      <c r="S4" s="3"/>
      <c r="T4" s="2">
        <v>1315769.43</v>
      </c>
      <c r="U4" s="3"/>
      <c r="V4" s="2">
        <v>1348868.92</v>
      </c>
      <c r="W4" s="3"/>
      <c r="X4" s="2">
        <v>1176894.93</v>
      </c>
      <c r="Y4" s="3"/>
      <c r="Z4" s="2">
        <v>998011.12</v>
      </c>
      <c r="AA4" s="3"/>
      <c r="AB4" s="2">
        <v>1103757.83</v>
      </c>
      <c r="AC4" s="3"/>
      <c r="AD4" s="2">
        <f>ROUND(SUM(F4:AB4),5)</f>
        <v>13649819.529999999</v>
      </c>
    </row>
    <row r="5" spans="1:30" x14ac:dyDescent="0.25">
      <c r="A5" s="1"/>
      <c r="B5" s="1"/>
      <c r="C5" s="1"/>
      <c r="D5" s="1" t="s">
        <v>16</v>
      </c>
      <c r="E5" s="1"/>
      <c r="F5" s="2">
        <v>2140</v>
      </c>
      <c r="G5" s="3"/>
      <c r="H5" s="2">
        <v>25671.08</v>
      </c>
      <c r="I5" s="3"/>
      <c r="J5" s="2">
        <v>250</v>
      </c>
      <c r="K5" s="3"/>
      <c r="L5" s="2">
        <v>755</v>
      </c>
      <c r="M5" s="3"/>
      <c r="N5" s="2">
        <v>53413.35</v>
      </c>
      <c r="O5" s="3"/>
      <c r="P5" s="2">
        <v>1190</v>
      </c>
      <c r="Q5" s="3"/>
      <c r="R5" s="2">
        <v>820</v>
      </c>
      <c r="S5" s="3"/>
      <c r="T5" s="2">
        <v>0</v>
      </c>
      <c r="U5" s="3"/>
      <c r="V5" s="2">
        <v>390</v>
      </c>
      <c r="W5" s="3"/>
      <c r="X5" s="2">
        <v>20</v>
      </c>
      <c r="Y5" s="3"/>
      <c r="Z5" s="2">
        <v>0</v>
      </c>
      <c r="AA5" s="3"/>
      <c r="AB5" s="2">
        <v>240</v>
      </c>
      <c r="AC5" s="3"/>
      <c r="AD5" s="2">
        <f>ROUND(SUM(F5:AB5),5)</f>
        <v>84889.43</v>
      </c>
    </row>
    <row r="6" spans="1:30" ht="15.75" thickBot="1" x14ac:dyDescent="0.3">
      <c r="A6" s="1"/>
      <c r="B6" s="1"/>
      <c r="C6" s="1"/>
      <c r="D6" s="1" t="s">
        <v>17</v>
      </c>
      <c r="E6" s="1"/>
      <c r="F6" s="4">
        <v>0</v>
      </c>
      <c r="G6" s="3"/>
      <c r="H6" s="4">
        <v>0</v>
      </c>
      <c r="I6" s="3"/>
      <c r="J6" s="4">
        <v>-220.71</v>
      </c>
      <c r="K6" s="3"/>
      <c r="L6" s="4">
        <v>0</v>
      </c>
      <c r="M6" s="3"/>
      <c r="N6" s="4">
        <v>0</v>
      </c>
      <c r="O6" s="3"/>
      <c r="P6" s="4">
        <v>0</v>
      </c>
      <c r="Q6" s="3"/>
      <c r="R6" s="4">
        <v>-85.15</v>
      </c>
      <c r="S6" s="3"/>
      <c r="T6" s="4">
        <v>-80</v>
      </c>
      <c r="U6" s="3"/>
      <c r="V6" s="4">
        <v>-1910.59</v>
      </c>
      <c r="W6" s="3"/>
      <c r="X6" s="4">
        <v>-856.88</v>
      </c>
      <c r="Y6" s="3"/>
      <c r="Z6" s="4">
        <v>0</v>
      </c>
      <c r="AA6" s="3"/>
      <c r="AB6" s="4">
        <v>0</v>
      </c>
      <c r="AC6" s="3"/>
      <c r="AD6" s="4">
        <f>ROUND(SUM(F6:AB6),5)</f>
        <v>-3153.33</v>
      </c>
    </row>
    <row r="7" spans="1:30" x14ac:dyDescent="0.25">
      <c r="A7" s="1"/>
      <c r="B7" s="1"/>
      <c r="C7" s="1" t="s">
        <v>18</v>
      </c>
      <c r="D7" s="1"/>
      <c r="E7" s="1"/>
      <c r="F7" s="2">
        <f>ROUND(SUM(F3:F6),5)</f>
        <v>1054119.57</v>
      </c>
      <c r="G7" s="3"/>
      <c r="H7" s="2">
        <f>ROUND(SUM(H3:H6),5)</f>
        <v>1062019.3500000001</v>
      </c>
      <c r="I7" s="3"/>
      <c r="J7" s="2">
        <f>ROUND(SUM(J3:J6),5)</f>
        <v>1001381.27</v>
      </c>
      <c r="K7" s="3"/>
      <c r="L7" s="2">
        <f>ROUND(SUM(L3:L6),5)</f>
        <v>1205306.6200000001</v>
      </c>
      <c r="M7" s="3"/>
      <c r="N7" s="2">
        <f>ROUND(SUM(N3:N6),5)</f>
        <v>1302561.29</v>
      </c>
      <c r="O7" s="3"/>
      <c r="P7" s="2">
        <f>ROUND(SUM(P3:P6),5)</f>
        <v>1143806.68</v>
      </c>
      <c r="Q7" s="3"/>
      <c r="R7" s="2">
        <f>ROUND(SUM(R3:R6),5)</f>
        <v>1021256.09</v>
      </c>
      <c r="S7" s="3"/>
      <c r="T7" s="2">
        <f>ROUND(SUM(T3:T6),5)</f>
        <v>1315689.43</v>
      </c>
      <c r="U7" s="3"/>
      <c r="V7" s="2">
        <f>ROUND(SUM(V3:V6),5)</f>
        <v>1347348.33</v>
      </c>
      <c r="W7" s="3"/>
      <c r="X7" s="2">
        <f>ROUND(SUM(X3:X6),5)</f>
        <v>1176058.05</v>
      </c>
      <c r="Y7" s="3"/>
      <c r="Z7" s="2">
        <f>ROUND(SUM(Z3:Z6),5)</f>
        <v>998011.12</v>
      </c>
      <c r="AA7" s="3"/>
      <c r="AB7" s="2">
        <f>ROUND(SUM(AB3:AB6),5)</f>
        <v>1103997.83</v>
      </c>
      <c r="AC7" s="3"/>
      <c r="AD7" s="2">
        <f>ROUND(SUM(F7:AB7),5)</f>
        <v>13731555.630000001</v>
      </c>
    </row>
    <row r="8" spans="1:30" x14ac:dyDescent="0.25">
      <c r="A8" s="1"/>
      <c r="B8" s="1"/>
      <c r="C8" s="1" t="s">
        <v>19</v>
      </c>
      <c r="D8" s="1"/>
      <c r="E8" s="1"/>
      <c r="F8" s="2"/>
      <c r="G8" s="3"/>
      <c r="H8" s="2"/>
      <c r="I8" s="3"/>
      <c r="J8" s="2"/>
      <c r="K8" s="3"/>
      <c r="L8" s="2"/>
      <c r="M8" s="3"/>
      <c r="N8" s="2"/>
      <c r="O8" s="3"/>
      <c r="P8" s="2"/>
      <c r="Q8" s="3"/>
      <c r="R8" s="2"/>
      <c r="S8" s="3"/>
      <c r="T8" s="2"/>
      <c r="U8" s="3"/>
      <c r="V8" s="2"/>
      <c r="W8" s="3"/>
      <c r="X8" s="2"/>
      <c r="Y8" s="3"/>
      <c r="Z8" s="2"/>
      <c r="AA8" s="3"/>
      <c r="AB8" s="2"/>
      <c r="AC8" s="3"/>
      <c r="AD8" s="2"/>
    </row>
    <row r="9" spans="1:30" x14ac:dyDescent="0.25">
      <c r="A9" s="1"/>
      <c r="B9" s="1"/>
      <c r="C9" s="1"/>
      <c r="D9" s="1" t="s">
        <v>20</v>
      </c>
      <c r="E9" s="1"/>
      <c r="F9" s="2">
        <v>28709.5</v>
      </c>
      <c r="G9" s="3"/>
      <c r="H9" s="2">
        <v>34539.9</v>
      </c>
      <c r="I9" s="3"/>
      <c r="J9" s="2">
        <v>33409.79</v>
      </c>
      <c r="K9" s="3"/>
      <c r="L9" s="2">
        <v>32761.74</v>
      </c>
      <c r="M9" s="3"/>
      <c r="N9" s="2">
        <v>37902.15</v>
      </c>
      <c r="O9" s="3"/>
      <c r="P9" s="2">
        <v>28776.74</v>
      </c>
      <c r="Q9" s="3"/>
      <c r="R9" s="2">
        <v>21880.66</v>
      </c>
      <c r="S9" s="3"/>
      <c r="T9" s="2">
        <v>23130.799999999999</v>
      </c>
      <c r="U9" s="3"/>
      <c r="V9" s="2">
        <v>21793.8</v>
      </c>
      <c r="W9" s="3"/>
      <c r="X9" s="2">
        <v>29958.99</v>
      </c>
      <c r="Y9" s="3"/>
      <c r="Z9" s="2">
        <v>27133.72</v>
      </c>
      <c r="AA9" s="3"/>
      <c r="AB9" s="2">
        <v>24924.77</v>
      </c>
      <c r="AC9" s="3"/>
      <c r="AD9" s="2">
        <f>ROUND(SUM(F9:AB9),5)</f>
        <v>344922.56</v>
      </c>
    </row>
    <row r="10" spans="1:30" x14ac:dyDescent="0.25">
      <c r="A10" s="1"/>
      <c r="B10" s="1"/>
      <c r="C10" s="1"/>
      <c r="D10" s="1" t="s">
        <v>21</v>
      </c>
      <c r="E10" s="1"/>
      <c r="F10" s="2">
        <v>0</v>
      </c>
      <c r="G10" s="3"/>
      <c r="H10" s="2">
        <v>5000</v>
      </c>
      <c r="I10" s="3"/>
      <c r="J10" s="2">
        <v>0</v>
      </c>
      <c r="K10" s="3"/>
      <c r="L10" s="2">
        <v>0</v>
      </c>
      <c r="M10" s="3"/>
      <c r="N10" s="2">
        <v>5045</v>
      </c>
      <c r="O10" s="3"/>
      <c r="P10" s="2">
        <v>0</v>
      </c>
      <c r="Q10" s="3"/>
      <c r="R10" s="2">
        <v>0</v>
      </c>
      <c r="S10" s="3"/>
      <c r="T10" s="2">
        <v>0</v>
      </c>
      <c r="U10" s="3"/>
      <c r="V10" s="2">
        <v>0</v>
      </c>
      <c r="W10" s="3"/>
      <c r="X10" s="2">
        <v>0</v>
      </c>
      <c r="Y10" s="3"/>
      <c r="Z10" s="2">
        <v>0</v>
      </c>
      <c r="AA10" s="3"/>
      <c r="AB10" s="2">
        <v>0</v>
      </c>
      <c r="AC10" s="3"/>
      <c r="AD10" s="2">
        <f>ROUND(SUM(F10:AB10),5)</f>
        <v>10045</v>
      </c>
    </row>
    <row r="11" spans="1:30" x14ac:dyDescent="0.25">
      <c r="A11" s="1"/>
      <c r="B11" s="1"/>
      <c r="C11" s="1"/>
      <c r="D11" s="1" t="s">
        <v>22</v>
      </c>
      <c r="E11" s="1"/>
      <c r="F11" s="2">
        <v>93386.67</v>
      </c>
      <c r="G11" s="3"/>
      <c r="H11" s="2">
        <v>93386.67</v>
      </c>
      <c r="I11" s="3"/>
      <c r="J11" s="2">
        <v>93386.67</v>
      </c>
      <c r="K11" s="3"/>
      <c r="L11" s="2">
        <v>93386.67</v>
      </c>
      <c r="M11" s="3"/>
      <c r="N11" s="2">
        <v>93386.67</v>
      </c>
      <c r="O11" s="3"/>
      <c r="P11" s="2">
        <v>93386.67</v>
      </c>
      <c r="Q11" s="3"/>
      <c r="R11" s="2">
        <v>106260.67</v>
      </c>
      <c r="S11" s="3"/>
      <c r="T11" s="2">
        <v>99734.27</v>
      </c>
      <c r="U11" s="3"/>
      <c r="V11" s="2">
        <v>100095.07</v>
      </c>
      <c r="W11" s="3"/>
      <c r="X11" s="2">
        <v>115118.43</v>
      </c>
      <c r="Y11" s="3"/>
      <c r="Z11" s="2">
        <v>99644.17</v>
      </c>
      <c r="AA11" s="3"/>
      <c r="AB11" s="2">
        <v>99824.17</v>
      </c>
      <c r="AC11" s="3"/>
      <c r="AD11" s="2">
        <f>ROUND(SUM(F11:AB11),5)</f>
        <v>1180996.8</v>
      </c>
    </row>
    <row r="12" spans="1:30" x14ac:dyDescent="0.25">
      <c r="A12" s="1"/>
      <c r="B12" s="1"/>
      <c r="C12" s="1"/>
      <c r="D12" s="1" t="s">
        <v>23</v>
      </c>
      <c r="E12" s="1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2"/>
    </row>
    <row r="13" spans="1:30" x14ac:dyDescent="0.25">
      <c r="A13" s="1"/>
      <c r="B13" s="1"/>
      <c r="C13" s="1"/>
      <c r="D13" s="1"/>
      <c r="E13" s="1" t="s">
        <v>24</v>
      </c>
      <c r="F13" s="2">
        <v>421.15</v>
      </c>
      <c r="G13" s="3"/>
      <c r="H13" s="2">
        <v>15.16</v>
      </c>
      <c r="I13" s="3"/>
      <c r="J13" s="2">
        <v>406.13</v>
      </c>
      <c r="K13" s="3"/>
      <c r="L13" s="2">
        <v>515.97</v>
      </c>
      <c r="M13" s="3"/>
      <c r="N13" s="2">
        <v>515.55999999999995</v>
      </c>
      <c r="O13" s="3"/>
      <c r="P13" s="2">
        <v>482.19</v>
      </c>
      <c r="Q13" s="3"/>
      <c r="R13" s="2">
        <v>0</v>
      </c>
      <c r="S13" s="3"/>
      <c r="T13" s="2">
        <v>0</v>
      </c>
      <c r="U13" s="3"/>
      <c r="V13" s="2">
        <v>0</v>
      </c>
      <c r="W13" s="3"/>
      <c r="X13" s="2">
        <v>0</v>
      </c>
      <c r="Y13" s="3"/>
      <c r="Z13" s="2">
        <v>0</v>
      </c>
      <c r="AA13" s="3"/>
      <c r="AB13" s="2">
        <v>0</v>
      </c>
      <c r="AC13" s="3"/>
      <c r="AD13" s="2">
        <f>ROUND(SUM(F13:AB13),5)</f>
        <v>2356.16</v>
      </c>
    </row>
    <row r="14" spans="1:30" x14ac:dyDescent="0.25">
      <c r="A14" s="1"/>
      <c r="B14" s="1"/>
      <c r="C14" s="1"/>
      <c r="D14" s="1"/>
      <c r="E14" s="1" t="s">
        <v>25</v>
      </c>
      <c r="F14" s="2">
        <v>0</v>
      </c>
      <c r="G14" s="3"/>
      <c r="H14" s="2">
        <v>0</v>
      </c>
      <c r="I14" s="3"/>
      <c r="J14" s="2">
        <v>104.19</v>
      </c>
      <c r="K14" s="3"/>
      <c r="L14" s="2">
        <v>3089.8</v>
      </c>
      <c r="M14" s="3"/>
      <c r="N14" s="2">
        <v>0</v>
      </c>
      <c r="O14" s="3"/>
      <c r="P14" s="2">
        <v>0</v>
      </c>
      <c r="Q14" s="3"/>
      <c r="R14" s="2">
        <v>0</v>
      </c>
      <c r="S14" s="3"/>
      <c r="T14" s="2">
        <v>0</v>
      </c>
      <c r="U14" s="3"/>
      <c r="V14" s="2">
        <v>0</v>
      </c>
      <c r="W14" s="3"/>
      <c r="X14" s="2">
        <v>0</v>
      </c>
      <c r="Y14" s="3"/>
      <c r="Z14" s="2">
        <v>0</v>
      </c>
      <c r="AA14" s="3"/>
      <c r="AB14" s="2">
        <v>0</v>
      </c>
      <c r="AC14" s="3"/>
      <c r="AD14" s="2">
        <f>ROUND(SUM(F14:AB14),5)</f>
        <v>3193.99</v>
      </c>
    </row>
    <row r="15" spans="1:30" x14ac:dyDescent="0.25">
      <c r="A15" s="1"/>
      <c r="B15" s="1"/>
      <c r="C15" s="1"/>
      <c r="D15" s="1"/>
      <c r="E15" s="1" t="s">
        <v>26</v>
      </c>
      <c r="F15" s="2">
        <v>0</v>
      </c>
      <c r="G15" s="3"/>
      <c r="H15" s="2">
        <v>0</v>
      </c>
      <c r="I15" s="3"/>
      <c r="J15" s="2">
        <v>0</v>
      </c>
      <c r="K15" s="3"/>
      <c r="L15" s="2">
        <v>0</v>
      </c>
      <c r="M15" s="3"/>
      <c r="N15" s="2">
        <v>0</v>
      </c>
      <c r="O15" s="3"/>
      <c r="P15" s="2">
        <v>0</v>
      </c>
      <c r="Q15" s="3"/>
      <c r="R15" s="2">
        <v>0</v>
      </c>
      <c r="S15" s="3"/>
      <c r="T15" s="2">
        <v>959.93</v>
      </c>
      <c r="U15" s="3"/>
      <c r="V15" s="2">
        <v>869.59</v>
      </c>
      <c r="W15" s="3"/>
      <c r="X15" s="2">
        <v>720.2</v>
      </c>
      <c r="Y15" s="3"/>
      <c r="Z15" s="2">
        <v>635.13</v>
      </c>
      <c r="AA15" s="3"/>
      <c r="AB15" s="2">
        <v>690.16</v>
      </c>
      <c r="AC15" s="3"/>
      <c r="AD15" s="2">
        <f>ROUND(SUM(F15:AB15),5)</f>
        <v>3875.01</v>
      </c>
    </row>
    <row r="16" spans="1:30" ht="15.75" thickBot="1" x14ac:dyDescent="0.3">
      <c r="A16" s="1"/>
      <c r="B16" s="1"/>
      <c r="C16" s="1"/>
      <c r="D16" s="1"/>
      <c r="E16" s="1" t="s">
        <v>27</v>
      </c>
      <c r="F16" s="4">
        <v>13216.89</v>
      </c>
      <c r="G16" s="3"/>
      <c r="H16" s="4">
        <v>13172.06</v>
      </c>
      <c r="I16" s="3"/>
      <c r="J16" s="4">
        <v>13126.96</v>
      </c>
      <c r="K16" s="3"/>
      <c r="L16" s="4">
        <v>13081.61</v>
      </c>
      <c r="M16" s="3"/>
      <c r="N16" s="4">
        <v>13035.99</v>
      </c>
      <c r="O16" s="3"/>
      <c r="P16" s="4">
        <v>12990.12</v>
      </c>
      <c r="Q16" s="3"/>
      <c r="R16" s="4">
        <v>12943.98</v>
      </c>
      <c r="S16" s="3"/>
      <c r="T16" s="4">
        <v>12897.57</v>
      </c>
      <c r="U16" s="3"/>
      <c r="V16" s="4">
        <v>12850.9</v>
      </c>
      <c r="W16" s="3"/>
      <c r="X16" s="4">
        <v>12803.96</v>
      </c>
      <c r="Y16" s="3"/>
      <c r="Z16" s="4">
        <v>12756.76</v>
      </c>
      <c r="AA16" s="3"/>
      <c r="AB16" s="4">
        <v>12709.28</v>
      </c>
      <c r="AC16" s="3"/>
      <c r="AD16" s="4">
        <f>ROUND(SUM(F16:AB16),5)</f>
        <v>155586.07999999999</v>
      </c>
    </row>
    <row r="17" spans="1:30" x14ac:dyDescent="0.25">
      <c r="A17" s="1"/>
      <c r="B17" s="1"/>
      <c r="C17" s="1"/>
      <c r="D17" s="1" t="s">
        <v>28</v>
      </c>
      <c r="E17" s="1"/>
      <c r="F17" s="2">
        <f>ROUND(SUM(F12:F16),5)</f>
        <v>13638.04</v>
      </c>
      <c r="G17" s="3"/>
      <c r="H17" s="2">
        <f>ROUND(SUM(H12:H16),5)</f>
        <v>13187.22</v>
      </c>
      <c r="I17" s="3"/>
      <c r="J17" s="2">
        <f>ROUND(SUM(J12:J16),5)</f>
        <v>13637.28</v>
      </c>
      <c r="K17" s="3"/>
      <c r="L17" s="2">
        <f>ROUND(SUM(L12:L16),5)</f>
        <v>16687.38</v>
      </c>
      <c r="M17" s="3"/>
      <c r="N17" s="2">
        <f>ROUND(SUM(N12:N16),5)</f>
        <v>13551.55</v>
      </c>
      <c r="O17" s="3"/>
      <c r="P17" s="2">
        <f>ROUND(SUM(P12:P16),5)</f>
        <v>13472.31</v>
      </c>
      <c r="Q17" s="3"/>
      <c r="R17" s="2">
        <f>ROUND(SUM(R12:R16),5)</f>
        <v>12943.98</v>
      </c>
      <c r="S17" s="3"/>
      <c r="T17" s="2">
        <f>ROUND(SUM(T12:T16),5)</f>
        <v>13857.5</v>
      </c>
      <c r="U17" s="3"/>
      <c r="V17" s="2">
        <f>ROUND(SUM(V12:V16),5)</f>
        <v>13720.49</v>
      </c>
      <c r="W17" s="3"/>
      <c r="X17" s="2">
        <f>ROUND(SUM(X12:X16),5)</f>
        <v>13524.16</v>
      </c>
      <c r="Y17" s="3"/>
      <c r="Z17" s="2">
        <f>ROUND(SUM(Z12:Z16),5)</f>
        <v>13391.89</v>
      </c>
      <c r="AA17" s="3"/>
      <c r="AB17" s="2">
        <f>ROUND(SUM(AB12:AB16),5)</f>
        <v>13399.44</v>
      </c>
      <c r="AC17" s="3"/>
      <c r="AD17" s="2">
        <f>ROUND(SUM(F17:AB17),5)</f>
        <v>165011.24</v>
      </c>
    </row>
    <row r="18" spans="1:30" x14ac:dyDescent="0.25">
      <c r="A18" s="1"/>
      <c r="B18" s="1"/>
      <c r="C18" s="1"/>
      <c r="D18" s="1" t="s">
        <v>29</v>
      </c>
      <c r="E18" s="1"/>
      <c r="F18" s="2"/>
      <c r="G18" s="3"/>
      <c r="H18" s="2"/>
      <c r="I18" s="3"/>
      <c r="J18" s="2"/>
      <c r="K18" s="3"/>
      <c r="L18" s="2"/>
      <c r="M18" s="3"/>
      <c r="N18" s="2"/>
      <c r="O18" s="3"/>
      <c r="P18" s="2"/>
      <c r="Q18" s="3"/>
      <c r="R18" s="2"/>
      <c r="S18" s="3"/>
      <c r="T18" s="2"/>
      <c r="U18" s="3"/>
      <c r="V18" s="2"/>
      <c r="W18" s="3"/>
      <c r="X18" s="2"/>
      <c r="Y18" s="3"/>
      <c r="Z18" s="2"/>
      <c r="AA18" s="3"/>
      <c r="AB18" s="2"/>
      <c r="AC18" s="3"/>
      <c r="AD18" s="2"/>
    </row>
    <row r="19" spans="1:30" x14ac:dyDescent="0.25">
      <c r="A19" s="1"/>
      <c r="B19" s="1"/>
      <c r="C19" s="1"/>
      <c r="D19" s="1"/>
      <c r="E19" s="1" t="s">
        <v>30</v>
      </c>
      <c r="F19" s="2">
        <v>5741</v>
      </c>
      <c r="G19" s="3"/>
      <c r="H19" s="2">
        <v>0</v>
      </c>
      <c r="I19" s="3"/>
      <c r="J19" s="2">
        <v>0</v>
      </c>
      <c r="K19" s="3"/>
      <c r="L19" s="2">
        <v>5741</v>
      </c>
      <c r="M19" s="3"/>
      <c r="N19" s="2">
        <v>0</v>
      </c>
      <c r="O19" s="3"/>
      <c r="P19" s="2">
        <v>0</v>
      </c>
      <c r="Q19" s="3"/>
      <c r="R19" s="2">
        <v>5692</v>
      </c>
      <c r="S19" s="3"/>
      <c r="T19" s="2">
        <v>0</v>
      </c>
      <c r="U19" s="3"/>
      <c r="V19" s="2">
        <v>0</v>
      </c>
      <c r="W19" s="3"/>
      <c r="X19" s="2">
        <v>0</v>
      </c>
      <c r="Y19" s="3"/>
      <c r="Z19" s="2">
        <v>0</v>
      </c>
      <c r="AA19" s="3"/>
      <c r="AB19" s="2">
        <v>0</v>
      </c>
      <c r="AC19" s="3"/>
      <c r="AD19" s="2">
        <f>ROUND(SUM(F19:AB19),5)</f>
        <v>17174</v>
      </c>
    </row>
    <row r="20" spans="1:30" x14ac:dyDescent="0.25">
      <c r="A20" s="1"/>
      <c r="B20" s="1"/>
      <c r="C20" s="1"/>
      <c r="D20" s="1"/>
      <c r="E20" s="1" t="s">
        <v>31</v>
      </c>
      <c r="F20" s="2">
        <v>1156</v>
      </c>
      <c r="G20" s="3"/>
      <c r="H20" s="2">
        <v>0</v>
      </c>
      <c r="I20" s="3"/>
      <c r="J20" s="2">
        <v>0</v>
      </c>
      <c r="K20" s="3"/>
      <c r="L20" s="2">
        <v>1156</v>
      </c>
      <c r="M20" s="3"/>
      <c r="N20" s="2">
        <v>0</v>
      </c>
      <c r="O20" s="3"/>
      <c r="P20" s="2">
        <v>0</v>
      </c>
      <c r="Q20" s="3"/>
      <c r="R20" s="2">
        <v>1156</v>
      </c>
      <c r="S20" s="3"/>
      <c r="T20" s="2">
        <v>0</v>
      </c>
      <c r="U20" s="3"/>
      <c r="V20" s="2">
        <v>0</v>
      </c>
      <c r="W20" s="3"/>
      <c r="X20" s="2">
        <v>1148</v>
      </c>
      <c r="Y20" s="3"/>
      <c r="Z20" s="2">
        <v>0</v>
      </c>
      <c r="AA20" s="3"/>
      <c r="AB20" s="2">
        <v>0</v>
      </c>
      <c r="AC20" s="3"/>
      <c r="AD20" s="2">
        <f>ROUND(SUM(F20:AB20),5)</f>
        <v>4616</v>
      </c>
    </row>
    <row r="21" spans="1:30" x14ac:dyDescent="0.25">
      <c r="A21" s="1"/>
      <c r="B21" s="1"/>
      <c r="C21" s="1"/>
      <c r="D21" s="1"/>
      <c r="E21" s="1" t="s">
        <v>32</v>
      </c>
      <c r="F21" s="2">
        <v>1442</v>
      </c>
      <c r="G21" s="3"/>
      <c r="H21" s="2">
        <v>0</v>
      </c>
      <c r="I21" s="3"/>
      <c r="J21" s="2">
        <v>0</v>
      </c>
      <c r="K21" s="3"/>
      <c r="L21" s="2">
        <v>1925</v>
      </c>
      <c r="M21" s="3"/>
      <c r="N21" s="2">
        <v>0</v>
      </c>
      <c r="O21" s="3"/>
      <c r="P21" s="2">
        <v>0</v>
      </c>
      <c r="Q21" s="3"/>
      <c r="R21" s="2">
        <v>1725</v>
      </c>
      <c r="S21" s="3"/>
      <c r="T21" s="2">
        <v>0</v>
      </c>
      <c r="U21" s="3"/>
      <c r="V21" s="2">
        <v>0</v>
      </c>
      <c r="W21" s="3"/>
      <c r="X21" s="2">
        <v>1618</v>
      </c>
      <c r="Y21" s="3"/>
      <c r="Z21" s="2">
        <v>0</v>
      </c>
      <c r="AA21" s="3"/>
      <c r="AB21" s="2">
        <v>0</v>
      </c>
      <c r="AC21" s="3"/>
      <c r="AD21" s="2">
        <f>ROUND(SUM(F21:AB21),5)</f>
        <v>6710</v>
      </c>
    </row>
    <row r="22" spans="1:30" x14ac:dyDescent="0.25">
      <c r="A22" s="1"/>
      <c r="B22" s="1"/>
      <c r="C22" s="1"/>
      <c r="D22" s="1"/>
      <c r="E22" s="1" t="s">
        <v>33</v>
      </c>
      <c r="F22" s="2">
        <v>4785</v>
      </c>
      <c r="G22" s="3"/>
      <c r="H22" s="2">
        <v>0</v>
      </c>
      <c r="I22" s="3"/>
      <c r="J22" s="2">
        <v>0</v>
      </c>
      <c r="K22" s="3"/>
      <c r="L22" s="2">
        <v>4785</v>
      </c>
      <c r="M22" s="3"/>
      <c r="N22" s="2">
        <v>0</v>
      </c>
      <c r="O22" s="3"/>
      <c r="P22" s="2">
        <v>0</v>
      </c>
      <c r="Q22" s="3"/>
      <c r="R22" s="2">
        <v>4739</v>
      </c>
      <c r="S22" s="3"/>
      <c r="T22" s="2">
        <v>0</v>
      </c>
      <c r="U22" s="3"/>
      <c r="V22" s="2">
        <v>0</v>
      </c>
      <c r="W22" s="3"/>
      <c r="X22" s="2">
        <v>9736</v>
      </c>
      <c r="Y22" s="3"/>
      <c r="Z22" s="2">
        <v>0</v>
      </c>
      <c r="AA22" s="3"/>
      <c r="AB22" s="2">
        <v>0</v>
      </c>
      <c r="AC22" s="3"/>
      <c r="AD22" s="2">
        <f>ROUND(SUM(F22:AB22),5)</f>
        <v>24045</v>
      </c>
    </row>
    <row r="23" spans="1:30" ht="15.75" thickBot="1" x14ac:dyDescent="0.3">
      <c r="A23" s="1"/>
      <c r="B23" s="1"/>
      <c r="C23" s="1"/>
      <c r="D23" s="1"/>
      <c r="E23" s="1" t="s">
        <v>34</v>
      </c>
      <c r="F23" s="4">
        <v>0</v>
      </c>
      <c r="G23" s="3"/>
      <c r="H23" s="4">
        <v>951</v>
      </c>
      <c r="I23" s="3"/>
      <c r="J23" s="4">
        <v>0</v>
      </c>
      <c r="K23" s="3"/>
      <c r="L23" s="4">
        <v>0</v>
      </c>
      <c r="M23" s="3"/>
      <c r="N23" s="4">
        <v>951</v>
      </c>
      <c r="O23" s="3"/>
      <c r="P23" s="4">
        <v>0</v>
      </c>
      <c r="Q23" s="3"/>
      <c r="R23" s="4">
        <v>0</v>
      </c>
      <c r="S23" s="3"/>
      <c r="T23" s="4">
        <v>0</v>
      </c>
      <c r="U23" s="3"/>
      <c r="V23" s="4">
        <v>951</v>
      </c>
      <c r="W23" s="3"/>
      <c r="X23" s="4">
        <v>0</v>
      </c>
      <c r="Y23" s="3"/>
      <c r="Z23" s="4">
        <v>0</v>
      </c>
      <c r="AA23" s="3"/>
      <c r="AB23" s="4">
        <v>0</v>
      </c>
      <c r="AC23" s="3"/>
      <c r="AD23" s="4">
        <f>ROUND(SUM(F23:AB23),5)</f>
        <v>2853</v>
      </c>
    </row>
    <row r="24" spans="1:30" x14ac:dyDescent="0.25">
      <c r="A24" s="1"/>
      <c r="B24" s="1"/>
      <c r="C24" s="1"/>
      <c r="D24" s="1" t="s">
        <v>35</v>
      </c>
      <c r="E24" s="1"/>
      <c r="F24" s="2">
        <f>ROUND(SUM(F18:F23),5)</f>
        <v>13124</v>
      </c>
      <c r="G24" s="3"/>
      <c r="H24" s="2">
        <f>ROUND(SUM(H18:H23),5)</f>
        <v>951</v>
      </c>
      <c r="I24" s="3"/>
      <c r="J24" s="2">
        <f>ROUND(SUM(J18:J23),5)</f>
        <v>0</v>
      </c>
      <c r="K24" s="3"/>
      <c r="L24" s="2">
        <f>ROUND(SUM(L18:L23),5)</f>
        <v>13607</v>
      </c>
      <c r="M24" s="3"/>
      <c r="N24" s="2">
        <f>ROUND(SUM(N18:N23),5)</f>
        <v>951</v>
      </c>
      <c r="O24" s="3"/>
      <c r="P24" s="2">
        <f>ROUND(SUM(P18:P23),5)</f>
        <v>0</v>
      </c>
      <c r="Q24" s="3"/>
      <c r="R24" s="2">
        <f>ROUND(SUM(R18:R23),5)</f>
        <v>13312</v>
      </c>
      <c r="S24" s="3"/>
      <c r="T24" s="2">
        <f>ROUND(SUM(T18:T23),5)</f>
        <v>0</v>
      </c>
      <c r="U24" s="3"/>
      <c r="V24" s="2">
        <f>ROUND(SUM(V18:V23),5)</f>
        <v>951</v>
      </c>
      <c r="W24" s="3"/>
      <c r="X24" s="2">
        <f>ROUND(SUM(X18:X23),5)</f>
        <v>12502</v>
      </c>
      <c r="Y24" s="3"/>
      <c r="Z24" s="2">
        <f>ROUND(SUM(Z18:Z23),5)</f>
        <v>0</v>
      </c>
      <c r="AA24" s="3"/>
      <c r="AB24" s="2">
        <f>ROUND(SUM(AB18:AB23),5)</f>
        <v>0</v>
      </c>
      <c r="AC24" s="3"/>
      <c r="AD24" s="2">
        <f>ROUND(SUM(F24:AB24),5)</f>
        <v>55398</v>
      </c>
    </row>
    <row r="25" spans="1:30" x14ac:dyDescent="0.25">
      <c r="A25" s="1"/>
      <c r="B25" s="1"/>
      <c r="C25" s="1"/>
      <c r="D25" s="1" t="s">
        <v>36</v>
      </c>
      <c r="E25" s="1"/>
      <c r="F25" s="2"/>
      <c r="G25" s="3"/>
      <c r="H25" s="2"/>
      <c r="I25" s="3"/>
      <c r="J25" s="2"/>
      <c r="K25" s="3"/>
      <c r="L25" s="2"/>
      <c r="M25" s="3"/>
      <c r="N25" s="2"/>
      <c r="O25" s="3"/>
      <c r="P25" s="2"/>
      <c r="Q25" s="3"/>
      <c r="R25" s="2"/>
      <c r="S25" s="3"/>
      <c r="T25" s="2"/>
      <c r="U25" s="3"/>
      <c r="V25" s="2"/>
      <c r="W25" s="3"/>
      <c r="X25" s="2"/>
      <c r="Y25" s="3"/>
      <c r="Z25" s="2"/>
      <c r="AA25" s="3"/>
      <c r="AB25" s="2"/>
      <c r="AC25" s="3"/>
      <c r="AD25" s="2"/>
    </row>
    <row r="26" spans="1:30" x14ac:dyDescent="0.25">
      <c r="A26" s="1"/>
      <c r="B26" s="1"/>
      <c r="C26" s="1"/>
      <c r="D26" s="1"/>
      <c r="E26" s="1" t="s">
        <v>37</v>
      </c>
      <c r="F26" s="2">
        <v>423.9</v>
      </c>
      <c r="G26" s="3"/>
      <c r="H26" s="2">
        <v>410.49</v>
      </c>
      <c r="I26" s="3"/>
      <c r="J26" s="2">
        <v>423.9</v>
      </c>
      <c r="K26" s="3"/>
      <c r="L26" s="2">
        <v>397.08</v>
      </c>
      <c r="M26" s="3"/>
      <c r="N26" s="2">
        <v>441.63</v>
      </c>
      <c r="O26" s="3"/>
      <c r="P26" s="2">
        <v>466.29</v>
      </c>
      <c r="Q26" s="3"/>
      <c r="R26" s="2">
        <v>452.88</v>
      </c>
      <c r="S26" s="3"/>
      <c r="T26" s="2">
        <v>642.05999999999995</v>
      </c>
      <c r="U26" s="3"/>
      <c r="V26" s="2">
        <v>515.94000000000005</v>
      </c>
      <c r="W26" s="3"/>
      <c r="X26" s="2">
        <v>435.48</v>
      </c>
      <c r="Y26" s="3"/>
      <c r="Z26" s="2">
        <v>515.94000000000005</v>
      </c>
      <c r="AA26" s="3"/>
      <c r="AB26" s="2">
        <v>529.35</v>
      </c>
      <c r="AC26" s="3"/>
      <c r="AD26" s="2">
        <f>ROUND(SUM(F26:AB26),5)</f>
        <v>5654.94</v>
      </c>
    </row>
    <row r="27" spans="1:30" x14ac:dyDescent="0.25">
      <c r="A27" s="1"/>
      <c r="B27" s="1"/>
      <c r="C27" s="1"/>
      <c r="D27" s="1"/>
      <c r="E27" s="1" t="s">
        <v>38</v>
      </c>
      <c r="F27" s="2">
        <v>6485.56</v>
      </c>
      <c r="G27" s="3"/>
      <c r="H27" s="2">
        <v>6210.31</v>
      </c>
      <c r="I27" s="3"/>
      <c r="J27" s="2">
        <v>13159.48</v>
      </c>
      <c r="K27" s="3"/>
      <c r="L27" s="2">
        <v>11808.76</v>
      </c>
      <c r="M27" s="3"/>
      <c r="N27" s="2">
        <v>8285.0300000000007</v>
      </c>
      <c r="O27" s="3"/>
      <c r="P27" s="2">
        <v>21640.55</v>
      </c>
      <c r="Q27" s="3"/>
      <c r="R27" s="2">
        <v>14133.68</v>
      </c>
      <c r="S27" s="3"/>
      <c r="T27" s="2">
        <v>-2397.62</v>
      </c>
      <c r="U27" s="3"/>
      <c r="V27" s="2">
        <v>-5922.09</v>
      </c>
      <c r="W27" s="3"/>
      <c r="X27" s="2">
        <v>-9057.61</v>
      </c>
      <c r="Y27" s="3"/>
      <c r="Z27" s="2">
        <v>-5114.3999999999996</v>
      </c>
      <c r="AA27" s="3"/>
      <c r="AB27" s="2">
        <v>-4351.42</v>
      </c>
      <c r="AC27" s="3"/>
      <c r="AD27" s="2">
        <f>ROUND(SUM(F27:AB27),5)</f>
        <v>54880.23</v>
      </c>
    </row>
    <row r="28" spans="1:30" x14ac:dyDescent="0.25">
      <c r="A28" s="1"/>
      <c r="B28" s="1"/>
      <c r="C28" s="1"/>
      <c r="D28" s="1"/>
      <c r="E28" s="1" t="s">
        <v>39</v>
      </c>
      <c r="F28" s="2">
        <v>-14.22</v>
      </c>
      <c r="G28" s="3"/>
      <c r="H28" s="2">
        <v>-14.22</v>
      </c>
      <c r="I28" s="3"/>
      <c r="J28" s="2">
        <v>-14.22</v>
      </c>
      <c r="K28" s="3"/>
      <c r="L28" s="2">
        <v>-14.22</v>
      </c>
      <c r="M28" s="3"/>
      <c r="N28" s="2">
        <v>-21.33</v>
      </c>
      <c r="O28" s="3"/>
      <c r="P28" s="2">
        <v>-14.22</v>
      </c>
      <c r="Q28" s="3"/>
      <c r="R28" s="2">
        <v>-14.22</v>
      </c>
      <c r="S28" s="3"/>
      <c r="T28" s="2">
        <v>-14.22</v>
      </c>
      <c r="U28" s="3"/>
      <c r="V28" s="2">
        <v>-14.22</v>
      </c>
      <c r="W28" s="3"/>
      <c r="X28" s="2">
        <v>-21.33</v>
      </c>
      <c r="Y28" s="3"/>
      <c r="Z28" s="2">
        <v>-14.22</v>
      </c>
      <c r="AA28" s="3"/>
      <c r="AB28" s="2">
        <v>-11.85</v>
      </c>
      <c r="AC28" s="3"/>
      <c r="AD28" s="2">
        <f>ROUND(SUM(F28:AB28),5)</f>
        <v>-182.49</v>
      </c>
    </row>
    <row r="29" spans="1:30" ht="15.75" thickBot="1" x14ac:dyDescent="0.3">
      <c r="A29" s="1"/>
      <c r="B29" s="1"/>
      <c r="C29" s="1"/>
      <c r="D29" s="1"/>
      <c r="E29" s="1" t="s">
        <v>40</v>
      </c>
      <c r="F29" s="4">
        <v>0</v>
      </c>
      <c r="G29" s="3"/>
      <c r="H29" s="4">
        <v>0</v>
      </c>
      <c r="I29" s="3"/>
      <c r="J29" s="4">
        <v>0</v>
      </c>
      <c r="K29" s="3"/>
      <c r="L29" s="4">
        <v>0</v>
      </c>
      <c r="M29" s="3"/>
      <c r="N29" s="4">
        <v>0</v>
      </c>
      <c r="O29" s="3"/>
      <c r="P29" s="4">
        <v>0</v>
      </c>
      <c r="Q29" s="3"/>
      <c r="R29" s="4">
        <v>0</v>
      </c>
      <c r="S29" s="3"/>
      <c r="T29" s="4">
        <v>0</v>
      </c>
      <c r="U29" s="3"/>
      <c r="V29" s="4">
        <v>4468.72</v>
      </c>
      <c r="W29" s="3"/>
      <c r="X29" s="4">
        <v>11832.2</v>
      </c>
      <c r="Y29" s="3"/>
      <c r="Z29" s="4">
        <v>9089.92</v>
      </c>
      <c r="AA29" s="3"/>
      <c r="AB29" s="4">
        <v>14052.6</v>
      </c>
      <c r="AC29" s="3"/>
      <c r="AD29" s="4">
        <f>ROUND(SUM(F29:AB29),5)</f>
        <v>39443.440000000002</v>
      </c>
    </row>
    <row r="30" spans="1:30" x14ac:dyDescent="0.25">
      <c r="A30" s="1"/>
      <c r="B30" s="1"/>
      <c r="C30" s="1"/>
      <c r="D30" s="1" t="s">
        <v>41</v>
      </c>
      <c r="E30" s="1"/>
      <c r="F30" s="2">
        <f>ROUND(SUM(F25:F29),5)</f>
        <v>6895.24</v>
      </c>
      <c r="G30" s="3"/>
      <c r="H30" s="2">
        <f>ROUND(SUM(H25:H29),5)</f>
        <v>6606.58</v>
      </c>
      <c r="I30" s="3"/>
      <c r="J30" s="2">
        <f>ROUND(SUM(J25:J29),5)</f>
        <v>13569.16</v>
      </c>
      <c r="K30" s="3"/>
      <c r="L30" s="2">
        <f>ROUND(SUM(L25:L29),5)</f>
        <v>12191.62</v>
      </c>
      <c r="M30" s="3"/>
      <c r="N30" s="2">
        <f>ROUND(SUM(N25:N29),5)</f>
        <v>8705.33</v>
      </c>
      <c r="O30" s="3"/>
      <c r="P30" s="2">
        <f>ROUND(SUM(P25:P29),5)</f>
        <v>22092.62</v>
      </c>
      <c r="Q30" s="3"/>
      <c r="R30" s="2">
        <f>ROUND(SUM(R25:R29),5)</f>
        <v>14572.34</v>
      </c>
      <c r="S30" s="3"/>
      <c r="T30" s="2">
        <f>ROUND(SUM(T25:T29),5)</f>
        <v>-1769.78</v>
      </c>
      <c r="U30" s="3"/>
      <c r="V30" s="2">
        <f>ROUND(SUM(V25:V29),5)</f>
        <v>-951.65</v>
      </c>
      <c r="W30" s="3"/>
      <c r="X30" s="2">
        <f>ROUND(SUM(X25:X29),5)</f>
        <v>3188.74</v>
      </c>
      <c r="Y30" s="3"/>
      <c r="Z30" s="2">
        <f>ROUND(SUM(Z25:Z29),5)</f>
        <v>4477.24</v>
      </c>
      <c r="AA30" s="3"/>
      <c r="AB30" s="2">
        <f>ROUND(SUM(AB25:AB29),5)</f>
        <v>10218.68</v>
      </c>
      <c r="AC30" s="3"/>
      <c r="AD30" s="2">
        <f>ROUND(SUM(F30:AB30),5)</f>
        <v>99796.12</v>
      </c>
    </row>
    <row r="31" spans="1:30" x14ac:dyDescent="0.25">
      <c r="A31" s="1"/>
      <c r="B31" s="1"/>
      <c r="C31" s="1"/>
      <c r="D31" s="1" t="s">
        <v>42</v>
      </c>
      <c r="E31" s="1"/>
      <c r="F31" s="2">
        <v>171</v>
      </c>
      <c r="G31" s="3"/>
      <c r="H31" s="2">
        <v>403</v>
      </c>
      <c r="I31" s="3"/>
      <c r="J31" s="2">
        <v>403</v>
      </c>
      <c r="K31" s="3"/>
      <c r="L31" s="2">
        <v>403</v>
      </c>
      <c r="M31" s="3"/>
      <c r="N31" s="2">
        <v>19</v>
      </c>
      <c r="O31" s="3"/>
      <c r="P31" s="2">
        <v>156</v>
      </c>
      <c r="Q31" s="3"/>
      <c r="R31" s="2">
        <v>608</v>
      </c>
      <c r="S31" s="3"/>
      <c r="T31" s="2">
        <v>670</v>
      </c>
      <c r="U31" s="3"/>
      <c r="V31" s="2">
        <v>590</v>
      </c>
      <c r="W31" s="3"/>
      <c r="X31" s="2">
        <v>538</v>
      </c>
      <c r="Y31" s="3"/>
      <c r="Z31" s="2">
        <v>540</v>
      </c>
      <c r="AA31" s="3"/>
      <c r="AB31" s="2">
        <v>-198</v>
      </c>
      <c r="AC31" s="3"/>
      <c r="AD31" s="2">
        <f>ROUND(SUM(F31:AB31),5)</f>
        <v>4303</v>
      </c>
    </row>
    <row r="32" spans="1:30" x14ac:dyDescent="0.25">
      <c r="A32" s="1"/>
      <c r="B32" s="1"/>
      <c r="C32" s="1"/>
      <c r="D32" s="1" t="s">
        <v>43</v>
      </c>
      <c r="E32" s="1"/>
      <c r="F32" s="2">
        <v>0</v>
      </c>
      <c r="G32" s="3"/>
      <c r="H32" s="2">
        <v>0</v>
      </c>
      <c r="I32" s="3"/>
      <c r="J32" s="2">
        <v>0</v>
      </c>
      <c r="K32" s="3"/>
      <c r="L32" s="2">
        <v>9353.1200000000008</v>
      </c>
      <c r="M32" s="3"/>
      <c r="N32" s="2">
        <v>0</v>
      </c>
      <c r="O32" s="3"/>
      <c r="P32" s="2">
        <v>0</v>
      </c>
      <c r="Q32" s="3"/>
      <c r="R32" s="2">
        <v>10747.13</v>
      </c>
      <c r="S32" s="3"/>
      <c r="T32" s="2">
        <v>0</v>
      </c>
      <c r="U32" s="3"/>
      <c r="V32" s="2">
        <v>0</v>
      </c>
      <c r="W32" s="3"/>
      <c r="X32" s="2">
        <v>10747.13</v>
      </c>
      <c r="Y32" s="3"/>
      <c r="Z32" s="2">
        <v>0</v>
      </c>
      <c r="AA32" s="3"/>
      <c r="AB32" s="2">
        <v>0</v>
      </c>
      <c r="AC32" s="3"/>
      <c r="AD32" s="2">
        <f>ROUND(SUM(F32:AB32),5)</f>
        <v>30847.38</v>
      </c>
    </row>
    <row r="33" spans="1:30" x14ac:dyDescent="0.25">
      <c r="A33" s="1"/>
      <c r="B33" s="1"/>
      <c r="C33" s="1"/>
      <c r="D33" s="1" t="s">
        <v>44</v>
      </c>
      <c r="E33" s="1"/>
      <c r="F33" s="2">
        <v>704.16</v>
      </c>
      <c r="G33" s="3"/>
      <c r="H33" s="2">
        <v>704.16</v>
      </c>
      <c r="I33" s="3"/>
      <c r="J33" s="2">
        <v>704.16</v>
      </c>
      <c r="K33" s="3"/>
      <c r="L33" s="2">
        <v>1535</v>
      </c>
      <c r="M33" s="3"/>
      <c r="N33" s="2">
        <v>335</v>
      </c>
      <c r="O33" s="3"/>
      <c r="P33" s="2">
        <v>335</v>
      </c>
      <c r="Q33" s="3"/>
      <c r="R33" s="2">
        <v>335</v>
      </c>
      <c r="S33" s="3"/>
      <c r="T33" s="2">
        <v>335</v>
      </c>
      <c r="U33" s="3"/>
      <c r="V33" s="2">
        <v>335</v>
      </c>
      <c r="W33" s="3"/>
      <c r="X33" s="2">
        <v>-935.3</v>
      </c>
      <c r="Y33" s="3"/>
      <c r="Z33" s="2">
        <v>335</v>
      </c>
      <c r="AA33" s="3"/>
      <c r="AB33" s="2">
        <v>335</v>
      </c>
      <c r="AC33" s="3"/>
      <c r="AD33" s="2">
        <f>ROUND(SUM(F33:AB33),5)</f>
        <v>5057.18</v>
      </c>
    </row>
    <row r="34" spans="1:30" x14ac:dyDescent="0.25">
      <c r="A34" s="1"/>
      <c r="B34" s="1"/>
      <c r="C34" s="1"/>
      <c r="D34" s="1" t="s">
        <v>45</v>
      </c>
      <c r="E34" s="1"/>
      <c r="F34" s="2">
        <v>2364.6</v>
      </c>
      <c r="G34" s="3"/>
      <c r="H34" s="2">
        <v>1241.96</v>
      </c>
      <c r="I34" s="3"/>
      <c r="J34" s="2">
        <v>2025.6</v>
      </c>
      <c r="K34" s="3"/>
      <c r="L34" s="2">
        <v>2086.96</v>
      </c>
      <c r="M34" s="3"/>
      <c r="N34" s="2">
        <v>2078.9299999999998</v>
      </c>
      <c r="O34" s="3"/>
      <c r="P34" s="2">
        <v>2918.6</v>
      </c>
      <c r="Q34" s="3"/>
      <c r="R34" s="2">
        <v>3815.19</v>
      </c>
      <c r="S34" s="3"/>
      <c r="T34" s="2">
        <v>2363.0100000000002</v>
      </c>
      <c r="U34" s="3"/>
      <c r="V34" s="2">
        <v>2781.83</v>
      </c>
      <c r="W34" s="3"/>
      <c r="X34" s="2">
        <v>2649.89</v>
      </c>
      <c r="Y34" s="3"/>
      <c r="Z34" s="2">
        <v>1328.64</v>
      </c>
      <c r="AA34" s="3"/>
      <c r="AB34" s="2">
        <v>4278.12</v>
      </c>
      <c r="AC34" s="3"/>
      <c r="AD34" s="2">
        <f>ROUND(SUM(F34:AB34),5)</f>
        <v>29933.33</v>
      </c>
    </row>
    <row r="35" spans="1:30" x14ac:dyDescent="0.25">
      <c r="A35" s="1"/>
      <c r="B35" s="1"/>
      <c r="C35" s="1"/>
      <c r="D35" s="1" t="s">
        <v>46</v>
      </c>
      <c r="E35" s="1"/>
      <c r="F35" s="2">
        <v>479.61</v>
      </c>
      <c r="G35" s="3"/>
      <c r="H35" s="2">
        <v>60</v>
      </c>
      <c r="I35" s="3"/>
      <c r="J35" s="2">
        <v>60</v>
      </c>
      <c r="K35" s="3"/>
      <c r="L35" s="2">
        <v>454.77</v>
      </c>
      <c r="M35" s="3"/>
      <c r="N35" s="2">
        <v>10</v>
      </c>
      <c r="O35" s="3"/>
      <c r="P35" s="2">
        <v>354.07</v>
      </c>
      <c r="Q35" s="3"/>
      <c r="R35" s="2">
        <v>444.77</v>
      </c>
      <c r="S35" s="3"/>
      <c r="T35" s="2">
        <v>0</v>
      </c>
      <c r="U35" s="3"/>
      <c r="V35" s="2">
        <v>0</v>
      </c>
      <c r="W35" s="3"/>
      <c r="X35" s="2">
        <v>1249.4000000000001</v>
      </c>
      <c r="Y35" s="3"/>
      <c r="Z35" s="2">
        <v>729.76</v>
      </c>
      <c r="AA35" s="3"/>
      <c r="AB35" s="2">
        <v>0</v>
      </c>
      <c r="AC35" s="3"/>
      <c r="AD35" s="2">
        <f>ROUND(SUM(F35:AB35),5)</f>
        <v>3842.38</v>
      </c>
    </row>
    <row r="36" spans="1:30" x14ac:dyDescent="0.25">
      <c r="A36" s="1"/>
      <c r="B36" s="1"/>
      <c r="C36" s="1"/>
      <c r="D36" s="1" t="s">
        <v>47</v>
      </c>
      <c r="E36" s="1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2"/>
    </row>
    <row r="37" spans="1:30" x14ac:dyDescent="0.25">
      <c r="A37" s="1"/>
      <c r="B37" s="1"/>
      <c r="C37" s="1"/>
      <c r="D37" s="1"/>
      <c r="E37" s="1" t="s">
        <v>48</v>
      </c>
      <c r="F37" s="2">
        <v>4352.09</v>
      </c>
      <c r="G37" s="3"/>
      <c r="H37" s="2">
        <v>4252.57</v>
      </c>
      <c r="I37" s="3"/>
      <c r="J37" s="2">
        <v>4252.8100000000004</v>
      </c>
      <c r="K37" s="3"/>
      <c r="L37" s="2">
        <v>3507.24</v>
      </c>
      <c r="M37" s="3"/>
      <c r="N37" s="2">
        <v>3944.2</v>
      </c>
      <c r="O37" s="3"/>
      <c r="P37" s="2">
        <v>4380.1099999999997</v>
      </c>
      <c r="Q37" s="3"/>
      <c r="R37" s="2">
        <v>5430.53</v>
      </c>
      <c r="S37" s="3"/>
      <c r="T37" s="2">
        <v>2030.48</v>
      </c>
      <c r="U37" s="3"/>
      <c r="V37" s="2">
        <v>31108.19</v>
      </c>
      <c r="W37" s="3"/>
      <c r="X37" s="2">
        <v>20389.79</v>
      </c>
      <c r="Y37" s="3"/>
      <c r="Z37" s="2">
        <v>12563.96</v>
      </c>
      <c r="AA37" s="3"/>
      <c r="AB37" s="2">
        <v>12969.98</v>
      </c>
      <c r="AC37" s="3"/>
      <c r="AD37" s="2">
        <f>ROUND(SUM(F37:AB37),5)</f>
        <v>109181.95</v>
      </c>
    </row>
    <row r="38" spans="1:30" ht="15.75" thickBot="1" x14ac:dyDescent="0.3">
      <c r="A38" s="1"/>
      <c r="B38" s="1"/>
      <c r="C38" s="1"/>
      <c r="D38" s="1"/>
      <c r="E38" s="1" t="s">
        <v>49</v>
      </c>
      <c r="F38" s="4">
        <v>7484.79</v>
      </c>
      <c r="G38" s="3"/>
      <c r="H38" s="4">
        <v>7102.82</v>
      </c>
      <c r="I38" s="3"/>
      <c r="J38" s="4">
        <v>6257.34</v>
      </c>
      <c r="K38" s="3"/>
      <c r="L38" s="4">
        <v>8929.5400000000009</v>
      </c>
      <c r="M38" s="3"/>
      <c r="N38" s="4">
        <v>6479.88</v>
      </c>
      <c r="O38" s="3"/>
      <c r="P38" s="4">
        <v>6485.11</v>
      </c>
      <c r="Q38" s="3"/>
      <c r="R38" s="4">
        <v>10106.85</v>
      </c>
      <c r="S38" s="3"/>
      <c r="T38" s="4">
        <v>8558.0300000000007</v>
      </c>
      <c r="U38" s="3"/>
      <c r="V38" s="4">
        <v>8534.9699999999993</v>
      </c>
      <c r="W38" s="3"/>
      <c r="X38" s="4">
        <v>11246.82</v>
      </c>
      <c r="Y38" s="3"/>
      <c r="Z38" s="4">
        <v>8770.84</v>
      </c>
      <c r="AA38" s="3"/>
      <c r="AB38" s="4">
        <v>7452.11</v>
      </c>
      <c r="AC38" s="3"/>
      <c r="AD38" s="4">
        <f>ROUND(SUM(F38:AB38),5)</f>
        <v>97409.1</v>
      </c>
    </row>
    <row r="39" spans="1:30" x14ac:dyDescent="0.25">
      <c r="A39" s="1"/>
      <c r="B39" s="1"/>
      <c r="C39" s="1"/>
      <c r="D39" s="1" t="s">
        <v>50</v>
      </c>
      <c r="E39" s="1"/>
      <c r="F39" s="2">
        <f>ROUND(SUM(F36:F38),5)</f>
        <v>11836.88</v>
      </c>
      <c r="G39" s="3"/>
      <c r="H39" s="2">
        <f>ROUND(SUM(H36:H38),5)</f>
        <v>11355.39</v>
      </c>
      <c r="I39" s="3"/>
      <c r="J39" s="2">
        <f>ROUND(SUM(J36:J38),5)</f>
        <v>10510.15</v>
      </c>
      <c r="K39" s="3"/>
      <c r="L39" s="2">
        <f>ROUND(SUM(L36:L38),5)</f>
        <v>12436.78</v>
      </c>
      <c r="M39" s="3"/>
      <c r="N39" s="2">
        <f>ROUND(SUM(N36:N38),5)</f>
        <v>10424.08</v>
      </c>
      <c r="O39" s="3"/>
      <c r="P39" s="2">
        <f>ROUND(SUM(P36:P38),5)</f>
        <v>10865.22</v>
      </c>
      <c r="Q39" s="3"/>
      <c r="R39" s="2">
        <f>ROUND(SUM(R36:R38),5)</f>
        <v>15537.38</v>
      </c>
      <c r="S39" s="3"/>
      <c r="T39" s="2">
        <f>ROUND(SUM(T36:T38),5)</f>
        <v>10588.51</v>
      </c>
      <c r="U39" s="3"/>
      <c r="V39" s="2">
        <f>ROUND(SUM(V36:V38),5)</f>
        <v>39643.160000000003</v>
      </c>
      <c r="W39" s="3"/>
      <c r="X39" s="2">
        <f>ROUND(SUM(X36:X38),5)</f>
        <v>31636.61</v>
      </c>
      <c r="Y39" s="3"/>
      <c r="Z39" s="2">
        <f>ROUND(SUM(Z36:Z38),5)</f>
        <v>21334.799999999999</v>
      </c>
      <c r="AA39" s="3"/>
      <c r="AB39" s="2">
        <f>ROUND(SUM(AB36:AB38),5)</f>
        <v>20422.09</v>
      </c>
      <c r="AC39" s="3"/>
      <c r="AD39" s="2">
        <f>ROUND(SUM(F39:AB39),5)</f>
        <v>206591.05</v>
      </c>
    </row>
    <row r="40" spans="1:30" x14ac:dyDescent="0.25">
      <c r="A40" s="1"/>
      <c r="B40" s="1"/>
      <c r="C40" s="1"/>
      <c r="D40" s="1" t="s">
        <v>51</v>
      </c>
      <c r="E40" s="1"/>
      <c r="F40" s="2">
        <v>163582.22</v>
      </c>
      <c r="G40" s="3"/>
      <c r="H40" s="2">
        <v>176076.5</v>
      </c>
      <c r="I40" s="3"/>
      <c r="J40" s="2">
        <v>191683.59</v>
      </c>
      <c r="K40" s="3"/>
      <c r="L40" s="2">
        <v>203610.35</v>
      </c>
      <c r="M40" s="3"/>
      <c r="N40" s="2">
        <v>155700.09</v>
      </c>
      <c r="O40" s="3"/>
      <c r="P40" s="2">
        <v>265074.73</v>
      </c>
      <c r="Q40" s="3"/>
      <c r="R40" s="2">
        <v>105532.15</v>
      </c>
      <c r="S40" s="3"/>
      <c r="T40" s="2">
        <v>138403.88</v>
      </c>
      <c r="U40" s="3"/>
      <c r="V40" s="2">
        <v>311933.51</v>
      </c>
      <c r="W40" s="3"/>
      <c r="X40" s="2">
        <v>298626.55</v>
      </c>
      <c r="Y40" s="3"/>
      <c r="Z40" s="2">
        <v>270534.78999999998</v>
      </c>
      <c r="AA40" s="3"/>
      <c r="AB40" s="2">
        <v>222933.56</v>
      </c>
      <c r="AC40" s="3"/>
      <c r="AD40" s="2">
        <f>ROUND(SUM(F40:AB40),5)</f>
        <v>2503691.92</v>
      </c>
    </row>
    <row r="41" spans="1:30" x14ac:dyDescent="0.25">
      <c r="A41" s="1"/>
      <c r="B41" s="1"/>
      <c r="C41" s="1"/>
      <c r="D41" s="1" t="s">
        <v>52</v>
      </c>
      <c r="E41" s="1"/>
      <c r="F41" s="2">
        <v>0</v>
      </c>
      <c r="G41" s="3"/>
      <c r="H41" s="2">
        <v>1100</v>
      </c>
      <c r="I41" s="3"/>
      <c r="J41" s="2">
        <v>1221.8599999999999</v>
      </c>
      <c r="K41" s="3"/>
      <c r="L41" s="2">
        <v>0</v>
      </c>
      <c r="M41" s="3"/>
      <c r="N41" s="2">
        <v>0</v>
      </c>
      <c r="O41" s="3"/>
      <c r="P41" s="2">
        <v>13868.88</v>
      </c>
      <c r="Q41" s="3"/>
      <c r="R41" s="2">
        <v>0</v>
      </c>
      <c r="S41" s="3"/>
      <c r="T41" s="2">
        <v>0</v>
      </c>
      <c r="U41" s="3"/>
      <c r="V41" s="2">
        <v>0</v>
      </c>
      <c r="W41" s="3"/>
      <c r="X41" s="2">
        <v>4017.82</v>
      </c>
      <c r="Y41" s="3"/>
      <c r="Z41" s="2">
        <v>0</v>
      </c>
      <c r="AA41" s="3"/>
      <c r="AB41" s="2">
        <v>0</v>
      </c>
      <c r="AC41" s="3"/>
      <c r="AD41" s="2">
        <f>ROUND(SUM(F41:AB41),5)</f>
        <v>20208.560000000001</v>
      </c>
    </row>
    <row r="42" spans="1:30" x14ac:dyDescent="0.25">
      <c r="A42" s="1"/>
      <c r="B42" s="1"/>
      <c r="C42" s="1"/>
      <c r="D42" s="1" t="s">
        <v>53</v>
      </c>
      <c r="E42" s="1"/>
      <c r="F42" s="2">
        <v>761.04</v>
      </c>
      <c r="G42" s="3"/>
      <c r="H42" s="2">
        <v>0</v>
      </c>
      <c r="I42" s="3"/>
      <c r="J42" s="2">
        <v>221.99</v>
      </c>
      <c r="K42" s="3"/>
      <c r="L42" s="2">
        <v>0</v>
      </c>
      <c r="M42" s="3"/>
      <c r="N42" s="2">
        <v>0</v>
      </c>
      <c r="O42" s="3"/>
      <c r="P42" s="2">
        <v>0</v>
      </c>
      <c r="Q42" s="3"/>
      <c r="R42" s="2">
        <v>0</v>
      </c>
      <c r="S42" s="3"/>
      <c r="T42" s="2">
        <v>55.5</v>
      </c>
      <c r="U42" s="3"/>
      <c r="V42" s="2">
        <v>0</v>
      </c>
      <c r="W42" s="3"/>
      <c r="X42" s="2">
        <v>555</v>
      </c>
      <c r="Y42" s="3"/>
      <c r="Z42" s="2">
        <v>0</v>
      </c>
      <c r="AA42" s="3"/>
      <c r="AB42" s="2">
        <v>0</v>
      </c>
      <c r="AC42" s="3"/>
      <c r="AD42" s="2">
        <f>ROUND(SUM(F42:AB42),5)</f>
        <v>1593.53</v>
      </c>
    </row>
    <row r="43" spans="1:30" x14ac:dyDescent="0.25">
      <c r="A43" s="1"/>
      <c r="B43" s="1"/>
      <c r="C43" s="1"/>
      <c r="D43" s="1" t="s">
        <v>54</v>
      </c>
      <c r="E43" s="1"/>
      <c r="F43" s="2">
        <v>200</v>
      </c>
      <c r="G43" s="3"/>
      <c r="H43" s="2">
        <v>172</v>
      </c>
      <c r="I43" s="3"/>
      <c r="J43" s="2">
        <v>0</v>
      </c>
      <c r="K43" s="3"/>
      <c r="L43" s="2">
        <v>0</v>
      </c>
      <c r="M43" s="3"/>
      <c r="N43" s="2">
        <v>129</v>
      </c>
      <c r="O43" s="3"/>
      <c r="P43" s="2">
        <v>0</v>
      </c>
      <c r="Q43" s="3"/>
      <c r="R43" s="2">
        <v>0</v>
      </c>
      <c r="S43" s="3"/>
      <c r="T43" s="2">
        <v>0</v>
      </c>
      <c r="U43" s="3"/>
      <c r="V43" s="2">
        <v>0</v>
      </c>
      <c r="W43" s="3"/>
      <c r="X43" s="2">
        <v>172</v>
      </c>
      <c r="Y43" s="3"/>
      <c r="Z43" s="2">
        <v>0</v>
      </c>
      <c r="AA43" s="3"/>
      <c r="AB43" s="2">
        <v>0</v>
      </c>
      <c r="AC43" s="3"/>
      <c r="AD43" s="2">
        <f>ROUND(SUM(F43:AB43),5)</f>
        <v>673</v>
      </c>
    </row>
    <row r="44" spans="1:30" x14ac:dyDescent="0.25">
      <c r="A44" s="1"/>
      <c r="B44" s="1"/>
      <c r="C44" s="1"/>
      <c r="D44" s="1" t="s">
        <v>55</v>
      </c>
      <c r="E44" s="1"/>
      <c r="F44" s="2">
        <v>2027.3</v>
      </c>
      <c r="G44" s="3"/>
      <c r="H44" s="2">
        <v>4857.83</v>
      </c>
      <c r="I44" s="3"/>
      <c r="J44" s="2">
        <v>1612.85</v>
      </c>
      <c r="K44" s="3"/>
      <c r="L44" s="2">
        <v>1999.42</v>
      </c>
      <c r="M44" s="3"/>
      <c r="N44" s="2">
        <v>614.79999999999995</v>
      </c>
      <c r="O44" s="3"/>
      <c r="P44" s="2">
        <v>2398.8200000000002</v>
      </c>
      <c r="Q44" s="3"/>
      <c r="R44" s="2">
        <v>1673.55</v>
      </c>
      <c r="S44" s="3"/>
      <c r="T44" s="2">
        <v>8524.49</v>
      </c>
      <c r="U44" s="3"/>
      <c r="V44" s="2">
        <v>94.42</v>
      </c>
      <c r="W44" s="3"/>
      <c r="X44" s="2">
        <v>2977.81</v>
      </c>
      <c r="Y44" s="3"/>
      <c r="Z44" s="2">
        <v>3533.65</v>
      </c>
      <c r="AA44" s="3"/>
      <c r="AB44" s="2">
        <v>2063.73</v>
      </c>
      <c r="AC44" s="3"/>
      <c r="AD44" s="2">
        <f>ROUND(SUM(F44:AB44),5)</f>
        <v>32378.67</v>
      </c>
    </row>
    <row r="45" spans="1:30" x14ac:dyDescent="0.25">
      <c r="A45" s="1"/>
      <c r="B45" s="1"/>
      <c r="C45" s="1"/>
      <c r="D45" s="1" t="s">
        <v>56</v>
      </c>
      <c r="E45" s="1"/>
      <c r="F45" s="2">
        <v>0</v>
      </c>
      <c r="G45" s="3"/>
      <c r="H45" s="2">
        <v>0</v>
      </c>
      <c r="I45" s="3"/>
      <c r="J45" s="2">
        <v>0</v>
      </c>
      <c r="K45" s="3"/>
      <c r="L45" s="2">
        <v>0</v>
      </c>
      <c r="M45" s="3"/>
      <c r="N45" s="2">
        <v>0</v>
      </c>
      <c r="O45" s="3"/>
      <c r="P45" s="2">
        <v>0</v>
      </c>
      <c r="Q45" s="3"/>
      <c r="R45" s="2">
        <v>0</v>
      </c>
      <c r="S45" s="3"/>
      <c r="T45" s="2">
        <v>0</v>
      </c>
      <c r="U45" s="3"/>
      <c r="V45" s="2">
        <v>0</v>
      </c>
      <c r="W45" s="3"/>
      <c r="X45" s="2">
        <v>0</v>
      </c>
      <c r="Y45" s="3"/>
      <c r="Z45" s="2">
        <v>45.1</v>
      </c>
      <c r="AA45" s="3"/>
      <c r="AB45" s="2">
        <v>0</v>
      </c>
      <c r="AC45" s="3"/>
      <c r="AD45" s="2">
        <f>ROUND(SUM(F45:AB45),5)</f>
        <v>45.1</v>
      </c>
    </row>
    <row r="46" spans="1:30" x14ac:dyDescent="0.25">
      <c r="A46" s="1"/>
      <c r="B46" s="1"/>
      <c r="C46" s="1"/>
      <c r="D46" s="1" t="s">
        <v>57</v>
      </c>
      <c r="E46" s="1"/>
      <c r="F46" s="2">
        <v>2880</v>
      </c>
      <c r="G46" s="3"/>
      <c r="H46" s="2">
        <v>2736</v>
      </c>
      <c r="I46" s="3"/>
      <c r="J46" s="2">
        <v>2880</v>
      </c>
      <c r="K46" s="3"/>
      <c r="L46" s="2">
        <v>2880</v>
      </c>
      <c r="M46" s="3"/>
      <c r="N46" s="2">
        <v>2880</v>
      </c>
      <c r="O46" s="3"/>
      <c r="P46" s="2">
        <v>2880</v>
      </c>
      <c r="Q46" s="3"/>
      <c r="R46" s="2">
        <v>2880</v>
      </c>
      <c r="S46" s="3"/>
      <c r="T46" s="2">
        <v>2880</v>
      </c>
      <c r="U46" s="3"/>
      <c r="V46" s="2">
        <v>2880</v>
      </c>
      <c r="W46" s="3"/>
      <c r="X46" s="2">
        <v>4320</v>
      </c>
      <c r="Y46" s="3"/>
      <c r="Z46" s="2">
        <v>0</v>
      </c>
      <c r="AA46" s="3"/>
      <c r="AB46" s="2">
        <v>0</v>
      </c>
      <c r="AC46" s="3"/>
      <c r="AD46" s="2">
        <f>ROUND(SUM(F46:AB46),5)</f>
        <v>30096</v>
      </c>
    </row>
    <row r="47" spans="1:30" x14ac:dyDescent="0.25">
      <c r="A47" s="1"/>
      <c r="B47" s="1"/>
      <c r="C47" s="1"/>
      <c r="D47" s="1" t="s">
        <v>58</v>
      </c>
      <c r="E47" s="1"/>
      <c r="F47" s="2">
        <v>271.67</v>
      </c>
      <c r="G47" s="3"/>
      <c r="H47" s="2">
        <v>271.67</v>
      </c>
      <c r="I47" s="3"/>
      <c r="J47" s="2">
        <v>271.67</v>
      </c>
      <c r="K47" s="3"/>
      <c r="L47" s="2">
        <v>271.67</v>
      </c>
      <c r="M47" s="3"/>
      <c r="N47" s="2">
        <v>272.3</v>
      </c>
      <c r="O47" s="3"/>
      <c r="P47" s="2">
        <v>272.3</v>
      </c>
      <c r="Q47" s="3"/>
      <c r="R47" s="2">
        <v>272.3</v>
      </c>
      <c r="S47" s="3"/>
      <c r="T47" s="2">
        <v>272.3</v>
      </c>
      <c r="U47" s="3"/>
      <c r="V47" s="2">
        <v>272.3</v>
      </c>
      <c r="W47" s="3"/>
      <c r="X47" s="2">
        <v>272.3</v>
      </c>
      <c r="Y47" s="3"/>
      <c r="Z47" s="2">
        <v>272.3</v>
      </c>
      <c r="AA47" s="3"/>
      <c r="AB47" s="2">
        <v>286.56</v>
      </c>
      <c r="AC47" s="3"/>
      <c r="AD47" s="2">
        <f>ROUND(SUM(F47:AB47),5)</f>
        <v>3279.34</v>
      </c>
    </row>
    <row r="48" spans="1:30" x14ac:dyDescent="0.25">
      <c r="A48" s="1"/>
      <c r="B48" s="1"/>
      <c r="C48" s="1"/>
      <c r="D48" s="1" t="s">
        <v>59</v>
      </c>
      <c r="E48" s="1"/>
      <c r="F48" s="2">
        <v>0</v>
      </c>
      <c r="G48" s="3"/>
      <c r="H48" s="2">
        <v>0</v>
      </c>
      <c r="I48" s="3"/>
      <c r="J48" s="2">
        <v>0</v>
      </c>
      <c r="K48" s="3"/>
      <c r="L48" s="2">
        <v>0</v>
      </c>
      <c r="M48" s="3"/>
      <c r="N48" s="2">
        <v>0</v>
      </c>
      <c r="O48" s="3"/>
      <c r="P48" s="2">
        <v>0</v>
      </c>
      <c r="Q48" s="3"/>
      <c r="R48" s="2">
        <v>155</v>
      </c>
      <c r="S48" s="3"/>
      <c r="T48" s="2">
        <v>0</v>
      </c>
      <c r="U48" s="3"/>
      <c r="V48" s="2">
        <v>0</v>
      </c>
      <c r="W48" s="3"/>
      <c r="X48" s="2">
        <v>0</v>
      </c>
      <c r="Y48" s="3"/>
      <c r="Z48" s="2">
        <v>155</v>
      </c>
      <c r="AA48" s="3"/>
      <c r="AB48" s="2">
        <v>0</v>
      </c>
      <c r="AC48" s="3"/>
      <c r="AD48" s="2">
        <f>ROUND(SUM(F48:AB48),5)</f>
        <v>310</v>
      </c>
    </row>
    <row r="49" spans="1:30" x14ac:dyDescent="0.25">
      <c r="A49" s="1"/>
      <c r="B49" s="1"/>
      <c r="C49" s="1"/>
      <c r="D49" s="1" t="s">
        <v>60</v>
      </c>
      <c r="E49" s="1"/>
      <c r="F49" s="2"/>
      <c r="G49" s="3"/>
      <c r="H49" s="2"/>
      <c r="I49" s="3"/>
      <c r="J49" s="2"/>
      <c r="K49" s="3"/>
      <c r="L49" s="2"/>
      <c r="M49" s="3"/>
      <c r="N49" s="2"/>
      <c r="O49" s="3"/>
      <c r="P49" s="2"/>
      <c r="Q49" s="3"/>
      <c r="R49" s="2"/>
      <c r="S49" s="3"/>
      <c r="T49" s="2"/>
      <c r="U49" s="3"/>
      <c r="V49" s="2"/>
      <c r="W49" s="3"/>
      <c r="X49" s="2"/>
      <c r="Y49" s="3"/>
      <c r="Z49" s="2"/>
      <c r="AA49" s="3"/>
      <c r="AB49" s="2"/>
      <c r="AC49" s="3"/>
      <c r="AD49" s="2"/>
    </row>
    <row r="50" spans="1:30" x14ac:dyDescent="0.25">
      <c r="A50" s="1"/>
      <c r="B50" s="1"/>
      <c r="C50" s="1"/>
      <c r="D50" s="1"/>
      <c r="E50" s="1" t="s">
        <v>61</v>
      </c>
      <c r="F50" s="2">
        <v>0</v>
      </c>
      <c r="G50" s="3"/>
      <c r="H50" s="2">
        <v>0</v>
      </c>
      <c r="I50" s="3"/>
      <c r="J50" s="2">
        <v>0</v>
      </c>
      <c r="K50" s="3"/>
      <c r="L50" s="2">
        <v>0</v>
      </c>
      <c r="M50" s="3"/>
      <c r="N50" s="2">
        <v>0</v>
      </c>
      <c r="O50" s="3"/>
      <c r="P50" s="2">
        <v>0</v>
      </c>
      <c r="Q50" s="3"/>
      <c r="R50" s="2">
        <v>0</v>
      </c>
      <c r="S50" s="3"/>
      <c r="T50" s="2">
        <v>0</v>
      </c>
      <c r="U50" s="3"/>
      <c r="V50" s="2">
        <v>0</v>
      </c>
      <c r="W50" s="3"/>
      <c r="X50" s="2">
        <v>3100</v>
      </c>
      <c r="Y50" s="3"/>
      <c r="Z50" s="2">
        <v>0</v>
      </c>
      <c r="AA50" s="3"/>
      <c r="AB50" s="2">
        <v>0</v>
      </c>
      <c r="AC50" s="3"/>
      <c r="AD50" s="2">
        <f>ROUND(SUM(F50:AB50),5)</f>
        <v>3100</v>
      </c>
    </row>
    <row r="51" spans="1:30" x14ac:dyDescent="0.25">
      <c r="A51" s="1"/>
      <c r="B51" s="1"/>
      <c r="C51" s="1"/>
      <c r="D51" s="1"/>
      <c r="E51" s="1" t="s">
        <v>62</v>
      </c>
      <c r="F51" s="2">
        <v>0</v>
      </c>
      <c r="G51" s="3"/>
      <c r="H51" s="2">
        <v>0</v>
      </c>
      <c r="I51" s="3"/>
      <c r="J51" s="2">
        <v>0</v>
      </c>
      <c r="K51" s="3"/>
      <c r="L51" s="2">
        <v>0</v>
      </c>
      <c r="M51" s="3"/>
      <c r="N51" s="2">
        <v>0</v>
      </c>
      <c r="O51" s="3"/>
      <c r="P51" s="2">
        <v>0</v>
      </c>
      <c r="Q51" s="3"/>
      <c r="R51" s="2">
        <v>223</v>
      </c>
      <c r="S51" s="3"/>
      <c r="T51" s="2">
        <v>0</v>
      </c>
      <c r="U51" s="3"/>
      <c r="V51" s="2">
        <v>0</v>
      </c>
      <c r="W51" s="3"/>
      <c r="X51" s="2">
        <v>0</v>
      </c>
      <c r="Y51" s="3"/>
      <c r="Z51" s="2">
        <v>0</v>
      </c>
      <c r="AA51" s="3"/>
      <c r="AB51" s="2">
        <v>0</v>
      </c>
      <c r="AC51" s="3"/>
      <c r="AD51" s="2">
        <f>ROUND(SUM(F51:AB51),5)</f>
        <v>223</v>
      </c>
    </row>
    <row r="52" spans="1:30" ht="15.75" thickBot="1" x14ac:dyDescent="0.3">
      <c r="A52" s="1"/>
      <c r="B52" s="1"/>
      <c r="C52" s="1"/>
      <c r="D52" s="1"/>
      <c r="E52" s="1" t="s">
        <v>63</v>
      </c>
      <c r="F52" s="4">
        <v>59.9</v>
      </c>
      <c r="G52" s="3"/>
      <c r="H52" s="4">
        <v>59.9</v>
      </c>
      <c r="I52" s="3"/>
      <c r="J52" s="4">
        <v>59.9</v>
      </c>
      <c r="K52" s="3"/>
      <c r="L52" s="4">
        <v>59.9</v>
      </c>
      <c r="M52" s="3"/>
      <c r="N52" s="4">
        <v>59.9</v>
      </c>
      <c r="O52" s="3"/>
      <c r="P52" s="4">
        <v>59.9</v>
      </c>
      <c r="Q52" s="3"/>
      <c r="R52" s="4">
        <v>59.9</v>
      </c>
      <c r="S52" s="3"/>
      <c r="T52" s="4">
        <v>59.9</v>
      </c>
      <c r="U52" s="3"/>
      <c r="V52" s="4">
        <v>59.9</v>
      </c>
      <c r="W52" s="3"/>
      <c r="X52" s="4">
        <v>59.9</v>
      </c>
      <c r="Y52" s="3"/>
      <c r="Z52" s="4">
        <v>151.36000000000001</v>
      </c>
      <c r="AA52" s="3"/>
      <c r="AB52" s="4">
        <v>59.9</v>
      </c>
      <c r="AC52" s="3"/>
      <c r="AD52" s="4">
        <f>ROUND(SUM(F52:AB52),5)</f>
        <v>810.26</v>
      </c>
    </row>
    <row r="53" spans="1:30" x14ac:dyDescent="0.25">
      <c r="A53" s="1"/>
      <c r="B53" s="1"/>
      <c r="C53" s="1"/>
      <c r="D53" s="1" t="s">
        <v>64</v>
      </c>
      <c r="E53" s="1"/>
      <c r="F53" s="2">
        <f>ROUND(SUM(F49:F52),5)</f>
        <v>59.9</v>
      </c>
      <c r="G53" s="3"/>
      <c r="H53" s="2">
        <f>ROUND(SUM(H49:H52),5)</f>
        <v>59.9</v>
      </c>
      <c r="I53" s="3"/>
      <c r="J53" s="2">
        <f>ROUND(SUM(J49:J52),5)</f>
        <v>59.9</v>
      </c>
      <c r="K53" s="3"/>
      <c r="L53" s="2">
        <f>ROUND(SUM(L49:L52),5)</f>
        <v>59.9</v>
      </c>
      <c r="M53" s="3"/>
      <c r="N53" s="2">
        <f>ROUND(SUM(N49:N52),5)</f>
        <v>59.9</v>
      </c>
      <c r="O53" s="3"/>
      <c r="P53" s="2">
        <f>ROUND(SUM(P49:P52),5)</f>
        <v>59.9</v>
      </c>
      <c r="Q53" s="3"/>
      <c r="R53" s="2">
        <f>ROUND(SUM(R49:R52),5)</f>
        <v>282.89999999999998</v>
      </c>
      <c r="S53" s="3"/>
      <c r="T53" s="2">
        <f>ROUND(SUM(T49:T52),5)</f>
        <v>59.9</v>
      </c>
      <c r="U53" s="3"/>
      <c r="V53" s="2">
        <f>ROUND(SUM(V49:V52),5)</f>
        <v>59.9</v>
      </c>
      <c r="W53" s="3"/>
      <c r="X53" s="2">
        <f>ROUND(SUM(X49:X52),5)</f>
        <v>3159.9</v>
      </c>
      <c r="Y53" s="3"/>
      <c r="Z53" s="2">
        <f>ROUND(SUM(Z49:Z52),5)</f>
        <v>151.36000000000001</v>
      </c>
      <c r="AA53" s="3"/>
      <c r="AB53" s="2">
        <f>ROUND(SUM(AB49:AB52),5)</f>
        <v>59.9</v>
      </c>
      <c r="AC53" s="3"/>
      <c r="AD53" s="2">
        <f>ROUND(SUM(F53:AB53),5)</f>
        <v>4133.26</v>
      </c>
    </row>
    <row r="54" spans="1:30" x14ac:dyDescent="0.25">
      <c r="A54" s="1"/>
      <c r="B54" s="1"/>
      <c r="C54" s="1"/>
      <c r="D54" s="1" t="s">
        <v>65</v>
      </c>
      <c r="E54" s="1"/>
      <c r="F54" s="2">
        <v>5028.0200000000004</v>
      </c>
      <c r="G54" s="3"/>
      <c r="H54" s="2">
        <v>0</v>
      </c>
      <c r="I54" s="3"/>
      <c r="J54" s="2">
        <v>1634.5</v>
      </c>
      <c r="K54" s="3"/>
      <c r="L54" s="2">
        <v>1999.87</v>
      </c>
      <c r="M54" s="3"/>
      <c r="N54" s="2">
        <v>0</v>
      </c>
      <c r="O54" s="3"/>
      <c r="P54" s="2">
        <v>0</v>
      </c>
      <c r="Q54" s="3"/>
      <c r="R54" s="2">
        <v>0</v>
      </c>
      <c r="S54" s="3"/>
      <c r="T54" s="2">
        <v>3400.65</v>
      </c>
      <c r="U54" s="3"/>
      <c r="V54" s="2">
        <v>1699.87</v>
      </c>
      <c r="W54" s="3"/>
      <c r="X54" s="2">
        <v>1699.87</v>
      </c>
      <c r="Y54" s="3"/>
      <c r="Z54" s="2">
        <v>1699.87</v>
      </c>
      <c r="AA54" s="3"/>
      <c r="AB54" s="2">
        <v>1699.87</v>
      </c>
      <c r="AC54" s="3"/>
      <c r="AD54" s="2">
        <f>ROUND(SUM(F54:AB54),5)</f>
        <v>18862.52</v>
      </c>
    </row>
    <row r="55" spans="1:30" x14ac:dyDescent="0.25">
      <c r="A55" s="1"/>
      <c r="B55" s="1"/>
      <c r="C55" s="1"/>
      <c r="D55" s="1" t="s">
        <v>66</v>
      </c>
      <c r="E55" s="1"/>
      <c r="F55" s="2">
        <v>749.18</v>
      </c>
      <c r="G55" s="3"/>
      <c r="H55" s="2">
        <v>306.14</v>
      </c>
      <c r="I55" s="3"/>
      <c r="J55" s="2">
        <v>306.14</v>
      </c>
      <c r="K55" s="3"/>
      <c r="L55" s="2">
        <v>310.14</v>
      </c>
      <c r="M55" s="3"/>
      <c r="N55" s="2">
        <v>310.14</v>
      </c>
      <c r="O55" s="3"/>
      <c r="P55" s="2">
        <v>310.14</v>
      </c>
      <c r="Q55" s="3"/>
      <c r="R55" s="2">
        <v>310.14</v>
      </c>
      <c r="S55" s="3"/>
      <c r="T55" s="2">
        <v>310.14</v>
      </c>
      <c r="U55" s="3"/>
      <c r="V55" s="2">
        <v>310.14</v>
      </c>
      <c r="W55" s="3"/>
      <c r="X55" s="2">
        <v>310.14</v>
      </c>
      <c r="Y55" s="3"/>
      <c r="Z55" s="2">
        <v>310.14</v>
      </c>
      <c r="AA55" s="3"/>
      <c r="AB55" s="2">
        <v>310.14</v>
      </c>
      <c r="AC55" s="3"/>
      <c r="AD55" s="2">
        <f>ROUND(SUM(F55:AB55),5)</f>
        <v>4152.72</v>
      </c>
    </row>
    <row r="56" spans="1:30" x14ac:dyDescent="0.25">
      <c r="A56" s="1"/>
      <c r="B56" s="1"/>
      <c r="C56" s="1"/>
      <c r="D56" s="1" t="s">
        <v>67</v>
      </c>
      <c r="E56" s="1"/>
      <c r="F56" s="2">
        <v>1802.96</v>
      </c>
      <c r="G56" s="3"/>
      <c r="H56" s="2">
        <v>65.31</v>
      </c>
      <c r="I56" s="3"/>
      <c r="J56" s="2">
        <v>826.65</v>
      </c>
      <c r="K56" s="3"/>
      <c r="L56" s="2">
        <v>1911.03</v>
      </c>
      <c r="M56" s="3"/>
      <c r="N56" s="2">
        <v>532.65</v>
      </c>
      <c r="O56" s="3"/>
      <c r="P56" s="2">
        <v>155.54</v>
      </c>
      <c r="Q56" s="3"/>
      <c r="R56" s="2">
        <v>65.31</v>
      </c>
      <c r="S56" s="3"/>
      <c r="T56" s="2">
        <v>682.65</v>
      </c>
      <c r="U56" s="3"/>
      <c r="V56" s="2">
        <v>130.62</v>
      </c>
      <c r="W56" s="3"/>
      <c r="X56" s="2">
        <v>5188.6400000000003</v>
      </c>
      <c r="Y56" s="3"/>
      <c r="Z56" s="2">
        <v>65.31</v>
      </c>
      <c r="AA56" s="3"/>
      <c r="AB56" s="2">
        <v>0</v>
      </c>
      <c r="AC56" s="3"/>
      <c r="AD56" s="2">
        <f>ROUND(SUM(F56:AB56),5)</f>
        <v>11426.67</v>
      </c>
    </row>
    <row r="57" spans="1:30" x14ac:dyDescent="0.25">
      <c r="A57" s="1"/>
      <c r="B57" s="1"/>
      <c r="C57" s="1"/>
      <c r="D57" s="1" t="s">
        <v>68</v>
      </c>
      <c r="E57" s="1"/>
      <c r="F57" s="2">
        <v>799.72</v>
      </c>
      <c r="G57" s="3"/>
      <c r="H57" s="2">
        <v>1948.86</v>
      </c>
      <c r="I57" s="3"/>
      <c r="J57" s="2">
        <v>3541.77</v>
      </c>
      <c r="K57" s="3"/>
      <c r="L57" s="2">
        <v>2875.92</v>
      </c>
      <c r="M57" s="3"/>
      <c r="N57" s="2">
        <v>1874.02</v>
      </c>
      <c r="O57" s="3"/>
      <c r="P57" s="2">
        <v>2349.02</v>
      </c>
      <c r="Q57" s="3"/>
      <c r="R57" s="2">
        <v>74734.47</v>
      </c>
      <c r="S57" s="3"/>
      <c r="T57" s="2">
        <v>1874.02</v>
      </c>
      <c r="U57" s="3"/>
      <c r="V57" s="2">
        <v>1874.02</v>
      </c>
      <c r="W57" s="3"/>
      <c r="X57" s="2">
        <v>3458.06</v>
      </c>
      <c r="Y57" s="3"/>
      <c r="Z57" s="2">
        <v>1911.21</v>
      </c>
      <c r="AA57" s="3"/>
      <c r="AB57" s="2">
        <v>1975.07</v>
      </c>
      <c r="AC57" s="3"/>
      <c r="AD57" s="2">
        <f>ROUND(SUM(F57:AB57),5)</f>
        <v>99216.16</v>
      </c>
    </row>
    <row r="58" spans="1:30" x14ac:dyDescent="0.25">
      <c r="A58" s="1"/>
      <c r="B58" s="1"/>
      <c r="C58" s="1"/>
      <c r="D58" s="1" t="s">
        <v>69</v>
      </c>
      <c r="E58" s="1"/>
      <c r="F58" s="2">
        <v>520.62</v>
      </c>
      <c r="G58" s="3"/>
      <c r="H58" s="2">
        <v>267.38</v>
      </c>
      <c r="I58" s="3"/>
      <c r="J58" s="2">
        <v>59.29</v>
      </c>
      <c r="K58" s="3"/>
      <c r="L58" s="2">
        <v>272.39999999999998</v>
      </c>
      <c r="M58" s="3"/>
      <c r="N58" s="2">
        <v>81.62</v>
      </c>
      <c r="O58" s="3"/>
      <c r="P58" s="2">
        <v>45.98</v>
      </c>
      <c r="Q58" s="3"/>
      <c r="R58" s="2">
        <v>569.95000000000005</v>
      </c>
      <c r="S58" s="3"/>
      <c r="T58" s="2">
        <v>122.76</v>
      </c>
      <c r="U58" s="3"/>
      <c r="V58" s="2">
        <v>95.33</v>
      </c>
      <c r="W58" s="3"/>
      <c r="X58" s="2">
        <v>93.32</v>
      </c>
      <c r="Y58" s="3"/>
      <c r="Z58" s="2">
        <v>409.36</v>
      </c>
      <c r="AA58" s="3"/>
      <c r="AB58" s="2">
        <v>812.76</v>
      </c>
      <c r="AC58" s="3"/>
      <c r="AD58" s="2">
        <f>ROUND(SUM(F58:AB58),5)</f>
        <v>3350.77</v>
      </c>
    </row>
    <row r="59" spans="1:30" x14ac:dyDescent="0.25">
      <c r="A59" s="1"/>
      <c r="B59" s="1"/>
      <c r="C59" s="1"/>
      <c r="D59" s="1" t="s">
        <v>70</v>
      </c>
      <c r="E59" s="1"/>
      <c r="F59" s="2">
        <v>72.349999999999994</v>
      </c>
      <c r="G59" s="3"/>
      <c r="H59" s="2">
        <v>0</v>
      </c>
      <c r="I59" s="3"/>
      <c r="J59" s="2">
        <v>0</v>
      </c>
      <c r="K59" s="3"/>
      <c r="L59" s="2">
        <v>0</v>
      </c>
      <c r="M59" s="3"/>
      <c r="N59" s="2">
        <v>0</v>
      </c>
      <c r="O59" s="3"/>
      <c r="P59" s="2">
        <v>0</v>
      </c>
      <c r="Q59" s="3"/>
      <c r="R59" s="2">
        <v>0</v>
      </c>
      <c r="S59" s="3"/>
      <c r="T59" s="2">
        <v>0</v>
      </c>
      <c r="U59" s="3"/>
      <c r="V59" s="2">
        <v>0</v>
      </c>
      <c r="W59" s="3"/>
      <c r="X59" s="2">
        <v>0</v>
      </c>
      <c r="Y59" s="3"/>
      <c r="Z59" s="2">
        <v>0</v>
      </c>
      <c r="AA59" s="3"/>
      <c r="AB59" s="2">
        <v>0</v>
      </c>
      <c r="AC59" s="3"/>
      <c r="AD59" s="2">
        <f>ROUND(SUM(F59:AB59),5)</f>
        <v>72.349999999999994</v>
      </c>
    </row>
    <row r="60" spans="1:30" x14ac:dyDescent="0.25">
      <c r="A60" s="1"/>
      <c r="B60" s="1"/>
      <c r="C60" s="1"/>
      <c r="D60" s="1" t="s">
        <v>71</v>
      </c>
      <c r="E60" s="1"/>
      <c r="F60" s="2">
        <v>0</v>
      </c>
      <c r="G60" s="3"/>
      <c r="H60" s="2">
        <v>0</v>
      </c>
      <c r="I60" s="3"/>
      <c r="J60" s="2">
        <v>400</v>
      </c>
      <c r="K60" s="3"/>
      <c r="L60" s="2">
        <v>0</v>
      </c>
      <c r="M60" s="3"/>
      <c r="N60" s="2">
        <v>1640</v>
      </c>
      <c r="O60" s="3"/>
      <c r="P60" s="2">
        <v>700</v>
      </c>
      <c r="Q60" s="3"/>
      <c r="R60" s="2">
        <v>150</v>
      </c>
      <c r="S60" s="3"/>
      <c r="T60" s="2">
        <v>2400</v>
      </c>
      <c r="U60" s="3"/>
      <c r="V60" s="2">
        <v>0</v>
      </c>
      <c r="W60" s="3"/>
      <c r="X60" s="2">
        <v>0</v>
      </c>
      <c r="Y60" s="3"/>
      <c r="Z60" s="2">
        <v>0</v>
      </c>
      <c r="AA60" s="3"/>
      <c r="AB60" s="2">
        <v>1815</v>
      </c>
      <c r="AC60" s="3"/>
      <c r="AD60" s="2">
        <f>ROUND(SUM(F60:AB60),5)</f>
        <v>7105</v>
      </c>
    </row>
    <row r="61" spans="1:30" x14ac:dyDescent="0.25">
      <c r="A61" s="1"/>
      <c r="B61" s="1"/>
      <c r="C61" s="1"/>
      <c r="D61" s="1" t="s">
        <v>72</v>
      </c>
      <c r="E61" s="1"/>
      <c r="F61" s="2">
        <v>0</v>
      </c>
      <c r="G61" s="3"/>
      <c r="H61" s="2">
        <v>2545</v>
      </c>
      <c r="I61" s="3"/>
      <c r="J61" s="2">
        <v>0</v>
      </c>
      <c r="K61" s="3"/>
      <c r="L61" s="2">
        <v>0</v>
      </c>
      <c r="M61" s="3"/>
      <c r="N61" s="2">
        <v>0</v>
      </c>
      <c r="O61" s="3"/>
      <c r="P61" s="2">
        <v>0</v>
      </c>
      <c r="Q61" s="3"/>
      <c r="R61" s="2">
        <v>0</v>
      </c>
      <c r="S61" s="3"/>
      <c r="T61" s="2">
        <v>0</v>
      </c>
      <c r="U61" s="3"/>
      <c r="V61" s="2">
        <v>0</v>
      </c>
      <c r="W61" s="3"/>
      <c r="X61" s="2">
        <v>0</v>
      </c>
      <c r="Y61" s="3"/>
      <c r="Z61" s="2">
        <v>0</v>
      </c>
      <c r="AA61" s="3"/>
      <c r="AB61" s="2">
        <v>0</v>
      </c>
      <c r="AC61" s="3"/>
      <c r="AD61" s="2">
        <f>ROUND(SUM(F61:AB61),5)</f>
        <v>2545</v>
      </c>
    </row>
    <row r="62" spans="1:30" x14ac:dyDescent="0.25">
      <c r="A62" s="1"/>
      <c r="B62" s="1"/>
      <c r="C62" s="1"/>
      <c r="D62" s="1" t="s">
        <v>73</v>
      </c>
      <c r="E62" s="1"/>
      <c r="F62" s="2">
        <v>0</v>
      </c>
      <c r="G62" s="3"/>
      <c r="H62" s="2">
        <v>0</v>
      </c>
      <c r="I62" s="3"/>
      <c r="J62" s="2">
        <v>0</v>
      </c>
      <c r="K62" s="3"/>
      <c r="L62" s="2">
        <v>0</v>
      </c>
      <c r="M62" s="3"/>
      <c r="N62" s="2">
        <v>0</v>
      </c>
      <c r="O62" s="3"/>
      <c r="P62" s="2">
        <v>600</v>
      </c>
      <c r="Q62" s="3"/>
      <c r="R62" s="2">
        <v>0</v>
      </c>
      <c r="S62" s="3"/>
      <c r="T62" s="2">
        <v>0</v>
      </c>
      <c r="U62" s="3"/>
      <c r="V62" s="2">
        <v>888</v>
      </c>
      <c r="W62" s="3"/>
      <c r="X62" s="2">
        <v>0</v>
      </c>
      <c r="Y62" s="3"/>
      <c r="Z62" s="2">
        <v>0</v>
      </c>
      <c r="AA62" s="3"/>
      <c r="AB62" s="2">
        <v>0</v>
      </c>
      <c r="AC62" s="3"/>
      <c r="AD62" s="2">
        <f>ROUND(SUM(F62:AB62),5)</f>
        <v>1488</v>
      </c>
    </row>
    <row r="63" spans="1:30" x14ac:dyDescent="0.25">
      <c r="A63" s="1"/>
      <c r="B63" s="1"/>
      <c r="C63" s="1"/>
      <c r="D63" s="1" t="s">
        <v>74</v>
      </c>
      <c r="E63" s="1"/>
      <c r="F63" s="2">
        <v>0</v>
      </c>
      <c r="G63" s="3"/>
      <c r="H63" s="2">
        <v>0</v>
      </c>
      <c r="I63" s="3"/>
      <c r="J63" s="2">
        <v>0</v>
      </c>
      <c r="K63" s="3"/>
      <c r="L63" s="2">
        <v>0</v>
      </c>
      <c r="M63" s="3"/>
      <c r="N63" s="2">
        <v>0</v>
      </c>
      <c r="O63" s="3"/>
      <c r="P63" s="2">
        <v>0</v>
      </c>
      <c r="Q63" s="3"/>
      <c r="R63" s="2">
        <v>0</v>
      </c>
      <c r="S63" s="3"/>
      <c r="T63" s="2">
        <v>0</v>
      </c>
      <c r="U63" s="3"/>
      <c r="V63" s="2">
        <v>0</v>
      </c>
      <c r="W63" s="3"/>
      <c r="X63" s="2">
        <v>995</v>
      </c>
      <c r="Y63" s="3"/>
      <c r="Z63" s="2">
        <v>0</v>
      </c>
      <c r="AA63" s="3"/>
      <c r="AB63" s="2">
        <v>0</v>
      </c>
      <c r="AC63" s="3"/>
      <c r="AD63" s="2">
        <f>ROUND(SUM(F63:AB63),5)</f>
        <v>995</v>
      </c>
    </row>
    <row r="64" spans="1:30" x14ac:dyDescent="0.25">
      <c r="A64" s="1"/>
      <c r="B64" s="1"/>
      <c r="C64" s="1"/>
      <c r="D64" s="1" t="s">
        <v>75</v>
      </c>
      <c r="E64" s="1"/>
      <c r="F64" s="2">
        <v>0</v>
      </c>
      <c r="G64" s="3"/>
      <c r="H64" s="2">
        <v>0</v>
      </c>
      <c r="I64" s="3"/>
      <c r="J64" s="2">
        <v>0</v>
      </c>
      <c r="K64" s="3"/>
      <c r="L64" s="2">
        <v>0</v>
      </c>
      <c r="M64" s="3"/>
      <c r="N64" s="2">
        <v>0</v>
      </c>
      <c r="O64" s="3"/>
      <c r="P64" s="2">
        <v>0</v>
      </c>
      <c r="Q64" s="3"/>
      <c r="R64" s="2">
        <v>0</v>
      </c>
      <c r="S64" s="3"/>
      <c r="T64" s="2">
        <v>0</v>
      </c>
      <c r="U64" s="3"/>
      <c r="V64" s="2">
        <v>0</v>
      </c>
      <c r="W64" s="3"/>
      <c r="X64" s="2">
        <v>0</v>
      </c>
      <c r="Y64" s="3"/>
      <c r="Z64" s="2">
        <v>0</v>
      </c>
      <c r="AA64" s="3"/>
      <c r="AB64" s="2">
        <v>39</v>
      </c>
      <c r="AC64" s="3"/>
      <c r="AD64" s="2">
        <f>ROUND(SUM(F64:AB64),5)</f>
        <v>39</v>
      </c>
    </row>
    <row r="65" spans="1:30" x14ac:dyDescent="0.25">
      <c r="A65" s="1"/>
      <c r="B65" s="1"/>
      <c r="C65" s="1"/>
      <c r="D65" s="1" t="s">
        <v>76</v>
      </c>
      <c r="E65" s="1"/>
      <c r="F65" s="2">
        <v>296.14999999999998</v>
      </c>
      <c r="G65" s="3"/>
      <c r="H65" s="2">
        <v>296.14999999999998</v>
      </c>
      <c r="I65" s="3"/>
      <c r="J65" s="2">
        <v>296.14999999999998</v>
      </c>
      <c r="K65" s="3"/>
      <c r="L65" s="2">
        <v>296.14999999999998</v>
      </c>
      <c r="M65" s="3"/>
      <c r="N65" s="2">
        <v>296.14999999999998</v>
      </c>
      <c r="O65" s="3"/>
      <c r="P65" s="2">
        <v>296.14999999999998</v>
      </c>
      <c r="Q65" s="3"/>
      <c r="R65" s="2">
        <v>296.14999999999998</v>
      </c>
      <c r="S65" s="3"/>
      <c r="T65" s="2">
        <v>296.14999999999998</v>
      </c>
      <c r="U65" s="3"/>
      <c r="V65" s="2">
        <v>296.14999999999998</v>
      </c>
      <c r="W65" s="3"/>
      <c r="X65" s="2">
        <v>296.14999999999998</v>
      </c>
      <c r="Y65" s="3"/>
      <c r="Z65" s="2">
        <v>296.14999999999998</v>
      </c>
      <c r="AA65" s="3"/>
      <c r="AB65" s="2">
        <v>296.14999999999998</v>
      </c>
      <c r="AC65" s="3"/>
      <c r="AD65" s="2">
        <f>ROUND(SUM(F65:AB65),5)</f>
        <v>3553.8</v>
      </c>
    </row>
    <row r="66" spans="1:30" x14ac:dyDescent="0.25">
      <c r="A66" s="1"/>
      <c r="B66" s="1"/>
      <c r="C66" s="1"/>
      <c r="D66" s="1" t="s">
        <v>77</v>
      </c>
      <c r="E66" s="1"/>
      <c r="F66" s="2">
        <v>19437.71</v>
      </c>
      <c r="G66" s="3"/>
      <c r="H66" s="2">
        <v>0</v>
      </c>
      <c r="I66" s="3"/>
      <c r="J66" s="2">
        <v>2878.06</v>
      </c>
      <c r="K66" s="3"/>
      <c r="L66" s="2">
        <v>3032.17</v>
      </c>
      <c r="M66" s="3"/>
      <c r="N66" s="2">
        <v>1979.35</v>
      </c>
      <c r="O66" s="3"/>
      <c r="P66" s="2">
        <v>135</v>
      </c>
      <c r="Q66" s="3"/>
      <c r="R66" s="2">
        <v>15383.24</v>
      </c>
      <c r="S66" s="3"/>
      <c r="T66" s="2">
        <v>5000</v>
      </c>
      <c r="U66" s="3"/>
      <c r="V66" s="2">
        <v>5000</v>
      </c>
      <c r="W66" s="3"/>
      <c r="X66" s="2">
        <v>5974.43</v>
      </c>
      <c r="Y66" s="3"/>
      <c r="Z66" s="2">
        <v>8343.56</v>
      </c>
      <c r="AA66" s="3"/>
      <c r="AB66" s="2">
        <v>5494.51</v>
      </c>
      <c r="AC66" s="3"/>
      <c r="AD66" s="2">
        <f>ROUND(SUM(F66:AB66),5)</f>
        <v>72658.03</v>
      </c>
    </row>
    <row r="67" spans="1:30" x14ac:dyDescent="0.25">
      <c r="A67" s="1"/>
      <c r="B67" s="1"/>
      <c r="C67" s="1"/>
      <c r="D67" s="1" t="s">
        <v>78</v>
      </c>
      <c r="E67" s="1"/>
      <c r="F67" s="2">
        <v>799</v>
      </c>
      <c r="G67" s="3"/>
      <c r="H67" s="2">
        <v>1830.64</v>
      </c>
      <c r="I67" s="3"/>
      <c r="J67" s="2">
        <v>16509.72</v>
      </c>
      <c r="K67" s="3"/>
      <c r="L67" s="2">
        <v>799</v>
      </c>
      <c r="M67" s="3"/>
      <c r="N67" s="2">
        <v>799</v>
      </c>
      <c r="O67" s="3"/>
      <c r="P67" s="2">
        <v>799</v>
      </c>
      <c r="Q67" s="3"/>
      <c r="R67" s="2">
        <v>8605.34</v>
      </c>
      <c r="S67" s="3"/>
      <c r="T67" s="2">
        <v>799</v>
      </c>
      <c r="U67" s="3"/>
      <c r="V67" s="2">
        <v>799</v>
      </c>
      <c r="W67" s="3"/>
      <c r="X67" s="2">
        <v>799</v>
      </c>
      <c r="Y67" s="3"/>
      <c r="Z67" s="2">
        <v>799</v>
      </c>
      <c r="AA67" s="3"/>
      <c r="AB67" s="2">
        <v>799</v>
      </c>
      <c r="AC67" s="3"/>
      <c r="AD67" s="2">
        <f>ROUND(SUM(F67:AB67),5)</f>
        <v>34136.699999999997</v>
      </c>
    </row>
    <row r="68" spans="1:30" x14ac:dyDescent="0.25">
      <c r="A68" s="1"/>
      <c r="B68" s="1"/>
      <c r="C68" s="1"/>
      <c r="D68" s="1" t="s">
        <v>79</v>
      </c>
      <c r="E68" s="1"/>
      <c r="F68" s="2">
        <v>5195.76</v>
      </c>
      <c r="G68" s="3"/>
      <c r="H68" s="2">
        <v>7134.08</v>
      </c>
      <c r="I68" s="3"/>
      <c r="J68" s="2">
        <v>9244.89</v>
      </c>
      <c r="K68" s="3"/>
      <c r="L68" s="2">
        <v>11049.79</v>
      </c>
      <c r="M68" s="3"/>
      <c r="N68" s="2">
        <v>14645.63</v>
      </c>
      <c r="O68" s="3"/>
      <c r="P68" s="2">
        <v>11730.44</v>
      </c>
      <c r="Q68" s="3"/>
      <c r="R68" s="2">
        <v>8994.7199999999993</v>
      </c>
      <c r="S68" s="3"/>
      <c r="T68" s="2">
        <v>5411.67</v>
      </c>
      <c r="U68" s="3"/>
      <c r="V68" s="2">
        <v>5302.56</v>
      </c>
      <c r="W68" s="3"/>
      <c r="X68" s="2">
        <v>8007.24</v>
      </c>
      <c r="Y68" s="3"/>
      <c r="Z68" s="2">
        <v>3092.37</v>
      </c>
      <c r="AA68" s="3"/>
      <c r="AB68" s="2">
        <v>2076.7199999999998</v>
      </c>
      <c r="AC68" s="3"/>
      <c r="AD68" s="2">
        <f>ROUND(SUM(F68:AB68),5)</f>
        <v>91885.87</v>
      </c>
    </row>
    <row r="69" spans="1:30" x14ac:dyDescent="0.25">
      <c r="A69" s="1"/>
      <c r="B69" s="1"/>
      <c r="C69" s="1"/>
      <c r="D69" s="1" t="s">
        <v>80</v>
      </c>
      <c r="E69" s="1"/>
      <c r="F69" s="2">
        <v>372.23</v>
      </c>
      <c r="G69" s="3"/>
      <c r="H69" s="2">
        <v>375.29</v>
      </c>
      <c r="I69" s="3"/>
      <c r="J69" s="2">
        <v>1115.3</v>
      </c>
      <c r="K69" s="3"/>
      <c r="L69" s="2">
        <v>195.74</v>
      </c>
      <c r="M69" s="3"/>
      <c r="N69" s="2">
        <v>709.82</v>
      </c>
      <c r="O69" s="3"/>
      <c r="P69" s="2">
        <v>314.05</v>
      </c>
      <c r="Q69" s="3"/>
      <c r="R69" s="2">
        <v>353.43</v>
      </c>
      <c r="S69" s="3"/>
      <c r="T69" s="2">
        <v>35.340000000000003</v>
      </c>
      <c r="U69" s="3"/>
      <c r="V69" s="2">
        <v>0</v>
      </c>
      <c r="W69" s="3"/>
      <c r="X69" s="2">
        <v>473.01</v>
      </c>
      <c r="Y69" s="3"/>
      <c r="Z69" s="2">
        <v>699.17</v>
      </c>
      <c r="AA69" s="3"/>
      <c r="AB69" s="2">
        <v>0</v>
      </c>
      <c r="AC69" s="3"/>
      <c r="AD69" s="2">
        <f>ROUND(SUM(F69:AB69),5)</f>
        <v>4643.38</v>
      </c>
    </row>
    <row r="70" spans="1:30" x14ac:dyDescent="0.25">
      <c r="A70" s="1"/>
      <c r="B70" s="1"/>
      <c r="C70" s="1"/>
      <c r="D70" s="1" t="s">
        <v>81</v>
      </c>
      <c r="E70" s="1"/>
      <c r="F70" s="2">
        <v>0</v>
      </c>
      <c r="G70" s="3"/>
      <c r="H70" s="2">
        <v>0</v>
      </c>
      <c r="I70" s="3"/>
      <c r="J70" s="2">
        <v>326.57</v>
      </c>
      <c r="K70" s="3"/>
      <c r="L70" s="2">
        <v>0</v>
      </c>
      <c r="M70" s="3"/>
      <c r="N70" s="2">
        <v>0</v>
      </c>
      <c r="O70" s="3"/>
      <c r="P70" s="2">
        <v>0</v>
      </c>
      <c r="Q70" s="3"/>
      <c r="R70" s="2">
        <v>0</v>
      </c>
      <c r="S70" s="3"/>
      <c r="T70" s="2">
        <v>0</v>
      </c>
      <c r="U70" s="3"/>
      <c r="V70" s="2">
        <v>0</v>
      </c>
      <c r="W70" s="3"/>
      <c r="X70" s="2">
        <v>0</v>
      </c>
      <c r="Y70" s="3"/>
      <c r="Z70" s="2">
        <v>0</v>
      </c>
      <c r="AA70" s="3"/>
      <c r="AB70" s="2">
        <v>0</v>
      </c>
      <c r="AC70" s="3"/>
      <c r="AD70" s="2">
        <f>ROUND(SUM(F70:AB70),5)</f>
        <v>326.57</v>
      </c>
    </row>
    <row r="71" spans="1:30" x14ac:dyDescent="0.25">
      <c r="A71" s="1"/>
      <c r="B71" s="1"/>
      <c r="C71" s="1"/>
      <c r="D71" s="1" t="s">
        <v>82</v>
      </c>
      <c r="E71" s="1"/>
      <c r="F71" s="2"/>
      <c r="G71" s="3"/>
      <c r="H71" s="2"/>
      <c r="I71" s="3"/>
      <c r="J71" s="2"/>
      <c r="K71" s="3"/>
      <c r="L71" s="2"/>
      <c r="M71" s="3"/>
      <c r="N71" s="2"/>
      <c r="O71" s="3"/>
      <c r="P71" s="2"/>
      <c r="Q71" s="3"/>
      <c r="R71" s="2"/>
      <c r="S71" s="3"/>
      <c r="T71" s="2"/>
      <c r="U71" s="3"/>
      <c r="V71" s="2"/>
      <c r="W71" s="3"/>
      <c r="X71" s="2"/>
      <c r="Y71" s="3"/>
      <c r="Z71" s="2"/>
      <c r="AA71" s="3"/>
      <c r="AB71" s="2"/>
      <c r="AC71" s="3"/>
      <c r="AD71" s="2"/>
    </row>
    <row r="72" spans="1:30" x14ac:dyDescent="0.25">
      <c r="A72" s="1"/>
      <c r="B72" s="1"/>
      <c r="C72" s="1"/>
      <c r="D72" s="1"/>
      <c r="E72" s="1" t="s">
        <v>83</v>
      </c>
      <c r="F72" s="2">
        <v>240.89</v>
      </c>
      <c r="G72" s="3"/>
      <c r="H72" s="2">
        <v>0</v>
      </c>
      <c r="I72" s="3"/>
      <c r="J72" s="2">
        <v>110.62</v>
      </c>
      <c r="K72" s="3"/>
      <c r="L72" s="2">
        <v>0</v>
      </c>
      <c r="M72" s="3"/>
      <c r="N72" s="2">
        <v>0</v>
      </c>
      <c r="O72" s="3"/>
      <c r="P72" s="2">
        <v>0</v>
      </c>
      <c r="Q72" s="3"/>
      <c r="R72" s="2">
        <v>0</v>
      </c>
      <c r="S72" s="3"/>
      <c r="T72" s="2">
        <v>0</v>
      </c>
      <c r="U72" s="3"/>
      <c r="V72" s="2">
        <v>0</v>
      </c>
      <c r="W72" s="3"/>
      <c r="X72" s="2">
        <v>0</v>
      </c>
      <c r="Y72" s="3"/>
      <c r="Z72" s="2">
        <v>25</v>
      </c>
      <c r="AA72" s="3"/>
      <c r="AB72" s="2">
        <v>1024.51</v>
      </c>
      <c r="AC72" s="3"/>
      <c r="AD72" s="2">
        <f>ROUND(SUM(F72:AB72),5)</f>
        <v>1401.02</v>
      </c>
    </row>
    <row r="73" spans="1:30" x14ac:dyDescent="0.25">
      <c r="A73" s="1"/>
      <c r="B73" s="1"/>
      <c r="C73" s="1"/>
      <c r="D73" s="1"/>
      <c r="E73" s="1" t="s">
        <v>84</v>
      </c>
      <c r="F73" s="2">
        <v>1438.07</v>
      </c>
      <c r="G73" s="3"/>
      <c r="H73" s="2">
        <v>1438.07</v>
      </c>
      <c r="I73" s="3"/>
      <c r="J73" s="2">
        <v>0</v>
      </c>
      <c r="K73" s="3"/>
      <c r="L73" s="2">
        <v>1768.88</v>
      </c>
      <c r="M73" s="3"/>
      <c r="N73" s="2">
        <v>1768.88</v>
      </c>
      <c r="O73" s="3"/>
      <c r="P73" s="2">
        <v>1768.88</v>
      </c>
      <c r="Q73" s="3"/>
      <c r="R73" s="2">
        <v>0</v>
      </c>
      <c r="S73" s="3"/>
      <c r="T73" s="2">
        <v>1768.88</v>
      </c>
      <c r="U73" s="3"/>
      <c r="V73" s="2">
        <v>1768.88</v>
      </c>
      <c r="W73" s="3"/>
      <c r="X73" s="2">
        <v>0</v>
      </c>
      <c r="Y73" s="3"/>
      <c r="Z73" s="2">
        <v>1768.88</v>
      </c>
      <c r="AA73" s="3"/>
      <c r="AB73" s="2">
        <v>1768.88</v>
      </c>
      <c r="AC73" s="3"/>
      <c r="AD73" s="2">
        <f>ROUND(SUM(F73:AB73),5)</f>
        <v>15258.3</v>
      </c>
    </row>
    <row r="74" spans="1:30" x14ac:dyDescent="0.25">
      <c r="A74" s="1"/>
      <c r="B74" s="1"/>
      <c r="C74" s="1"/>
      <c r="D74" s="1"/>
      <c r="E74" s="1" t="s">
        <v>85</v>
      </c>
      <c r="F74" s="2">
        <v>712.5</v>
      </c>
      <c r="G74" s="3"/>
      <c r="H74" s="2">
        <v>695</v>
      </c>
      <c r="I74" s="3"/>
      <c r="J74" s="2">
        <v>695</v>
      </c>
      <c r="K74" s="3"/>
      <c r="L74" s="2">
        <v>695</v>
      </c>
      <c r="M74" s="3"/>
      <c r="N74" s="2">
        <v>695</v>
      </c>
      <c r="O74" s="3"/>
      <c r="P74" s="2">
        <v>695</v>
      </c>
      <c r="Q74" s="3"/>
      <c r="R74" s="2">
        <v>695</v>
      </c>
      <c r="S74" s="3"/>
      <c r="T74" s="2">
        <v>695</v>
      </c>
      <c r="U74" s="3"/>
      <c r="V74" s="2">
        <v>695</v>
      </c>
      <c r="W74" s="3"/>
      <c r="X74" s="2">
        <v>695</v>
      </c>
      <c r="Y74" s="3"/>
      <c r="Z74" s="2">
        <v>695</v>
      </c>
      <c r="AA74" s="3"/>
      <c r="AB74" s="2">
        <v>695</v>
      </c>
      <c r="AC74" s="3"/>
      <c r="AD74" s="2">
        <f>ROUND(SUM(F74:AB74),5)</f>
        <v>8357.5</v>
      </c>
    </row>
    <row r="75" spans="1:30" x14ac:dyDescent="0.25">
      <c r="A75" s="1"/>
      <c r="B75" s="1"/>
      <c r="C75" s="1"/>
      <c r="D75" s="1"/>
      <c r="E75" s="1" t="s">
        <v>86</v>
      </c>
      <c r="F75" s="2">
        <v>0</v>
      </c>
      <c r="G75" s="3"/>
      <c r="H75" s="2">
        <v>0</v>
      </c>
      <c r="I75" s="3"/>
      <c r="J75" s="2">
        <v>0</v>
      </c>
      <c r="K75" s="3"/>
      <c r="L75" s="2">
        <v>170.5</v>
      </c>
      <c r="M75" s="3"/>
      <c r="N75" s="2">
        <v>0</v>
      </c>
      <c r="O75" s="3"/>
      <c r="P75" s="2">
        <v>0</v>
      </c>
      <c r="Q75" s="3"/>
      <c r="R75" s="2">
        <v>0</v>
      </c>
      <c r="S75" s="3"/>
      <c r="T75" s="2">
        <v>0</v>
      </c>
      <c r="U75" s="3"/>
      <c r="V75" s="2">
        <v>0</v>
      </c>
      <c r="W75" s="3"/>
      <c r="X75" s="2">
        <v>0</v>
      </c>
      <c r="Y75" s="3"/>
      <c r="Z75" s="2">
        <v>0</v>
      </c>
      <c r="AA75" s="3"/>
      <c r="AB75" s="2">
        <v>0</v>
      </c>
      <c r="AC75" s="3"/>
      <c r="AD75" s="2">
        <f>ROUND(SUM(F75:AB75),5)</f>
        <v>170.5</v>
      </c>
    </row>
    <row r="76" spans="1:30" ht="15.75" thickBot="1" x14ac:dyDescent="0.3">
      <c r="A76" s="1"/>
      <c r="B76" s="1"/>
      <c r="C76" s="1"/>
      <c r="D76" s="1"/>
      <c r="E76" s="1" t="s">
        <v>87</v>
      </c>
      <c r="F76" s="4">
        <v>0</v>
      </c>
      <c r="G76" s="3"/>
      <c r="H76" s="4">
        <v>0</v>
      </c>
      <c r="I76" s="3"/>
      <c r="J76" s="4">
        <v>0</v>
      </c>
      <c r="K76" s="3"/>
      <c r="L76" s="4">
        <v>7</v>
      </c>
      <c r="M76" s="3"/>
      <c r="N76" s="4">
        <v>8749.0400000000009</v>
      </c>
      <c r="O76" s="3"/>
      <c r="P76" s="4">
        <v>2290</v>
      </c>
      <c r="Q76" s="3"/>
      <c r="R76" s="4">
        <v>0</v>
      </c>
      <c r="S76" s="3"/>
      <c r="T76" s="4">
        <v>0</v>
      </c>
      <c r="U76" s="3"/>
      <c r="V76" s="4">
        <v>0</v>
      </c>
      <c r="W76" s="3"/>
      <c r="X76" s="4">
        <v>3665.95</v>
      </c>
      <c r="Y76" s="3"/>
      <c r="Z76" s="4">
        <v>0</v>
      </c>
      <c r="AA76" s="3"/>
      <c r="AB76" s="4">
        <v>0</v>
      </c>
      <c r="AC76" s="3"/>
      <c r="AD76" s="4">
        <f>ROUND(SUM(F76:AB76),5)</f>
        <v>14711.99</v>
      </c>
    </row>
    <row r="77" spans="1:30" x14ac:dyDescent="0.25">
      <c r="A77" s="1"/>
      <c r="B77" s="1"/>
      <c r="C77" s="1"/>
      <c r="D77" s="1" t="s">
        <v>88</v>
      </c>
      <c r="E77" s="1"/>
      <c r="F77" s="2">
        <f>ROUND(SUM(F71:F76),5)</f>
        <v>2391.46</v>
      </c>
      <c r="G77" s="3"/>
      <c r="H77" s="2">
        <f>ROUND(SUM(H71:H76),5)</f>
        <v>2133.0700000000002</v>
      </c>
      <c r="I77" s="3"/>
      <c r="J77" s="2">
        <f>ROUND(SUM(J71:J76),5)</f>
        <v>805.62</v>
      </c>
      <c r="K77" s="3"/>
      <c r="L77" s="2">
        <f>ROUND(SUM(L71:L76),5)</f>
        <v>2641.38</v>
      </c>
      <c r="M77" s="3"/>
      <c r="N77" s="2">
        <f>ROUND(SUM(N71:N76),5)</f>
        <v>11212.92</v>
      </c>
      <c r="O77" s="3"/>
      <c r="P77" s="2">
        <f>ROUND(SUM(P71:P76),5)</f>
        <v>4753.88</v>
      </c>
      <c r="Q77" s="3"/>
      <c r="R77" s="2">
        <f>ROUND(SUM(R71:R76),5)</f>
        <v>695</v>
      </c>
      <c r="S77" s="3"/>
      <c r="T77" s="2">
        <f>ROUND(SUM(T71:T76),5)</f>
        <v>2463.88</v>
      </c>
      <c r="U77" s="3"/>
      <c r="V77" s="2">
        <f>ROUND(SUM(V71:V76),5)</f>
        <v>2463.88</v>
      </c>
      <c r="W77" s="3"/>
      <c r="X77" s="2">
        <f>ROUND(SUM(X71:X76),5)</f>
        <v>4360.95</v>
      </c>
      <c r="Y77" s="3"/>
      <c r="Z77" s="2">
        <f>ROUND(SUM(Z71:Z76),5)</f>
        <v>2488.88</v>
      </c>
      <c r="AA77" s="3"/>
      <c r="AB77" s="2">
        <f>ROUND(SUM(AB71:AB76),5)</f>
        <v>3488.39</v>
      </c>
      <c r="AC77" s="3"/>
      <c r="AD77" s="2">
        <f>ROUND(SUM(F77:AB77),5)</f>
        <v>39899.31</v>
      </c>
    </row>
    <row r="78" spans="1:30" x14ac:dyDescent="0.25">
      <c r="A78" s="1"/>
      <c r="B78" s="1"/>
      <c r="C78" s="1"/>
      <c r="D78" s="1" t="s">
        <v>89</v>
      </c>
      <c r="E78" s="1"/>
      <c r="F78" s="2">
        <v>1588.14</v>
      </c>
      <c r="G78" s="3"/>
      <c r="H78" s="2">
        <v>1588.14</v>
      </c>
      <c r="I78" s="3"/>
      <c r="J78" s="2">
        <v>1588.14</v>
      </c>
      <c r="K78" s="3"/>
      <c r="L78" s="2">
        <v>1588.14</v>
      </c>
      <c r="M78" s="3"/>
      <c r="N78" s="2">
        <v>1588.14</v>
      </c>
      <c r="O78" s="3"/>
      <c r="P78" s="2">
        <v>1588.14</v>
      </c>
      <c r="Q78" s="3"/>
      <c r="R78" s="2">
        <v>1588.14</v>
      </c>
      <c r="S78" s="3"/>
      <c r="T78" s="2">
        <v>1588.14</v>
      </c>
      <c r="U78" s="3"/>
      <c r="V78" s="2">
        <v>1588.14</v>
      </c>
      <c r="W78" s="3"/>
      <c r="X78" s="2">
        <v>1588.14</v>
      </c>
      <c r="Y78" s="3"/>
      <c r="Z78" s="2">
        <v>1588.14</v>
      </c>
      <c r="AA78" s="3"/>
      <c r="AB78" s="2">
        <v>1588.14</v>
      </c>
      <c r="AC78" s="3"/>
      <c r="AD78" s="2">
        <f>ROUND(SUM(F78:AB78),5)</f>
        <v>19057.68</v>
      </c>
    </row>
    <row r="79" spans="1:30" x14ac:dyDescent="0.25">
      <c r="A79" s="1"/>
      <c r="B79" s="1"/>
      <c r="C79" s="1"/>
      <c r="D79" s="1" t="s">
        <v>90</v>
      </c>
      <c r="E79" s="1"/>
      <c r="F79" s="2">
        <v>0</v>
      </c>
      <c r="G79" s="3"/>
      <c r="H79" s="2">
        <v>2689.37</v>
      </c>
      <c r="I79" s="3"/>
      <c r="J79" s="2">
        <v>6341.22</v>
      </c>
      <c r="K79" s="3"/>
      <c r="L79" s="2">
        <v>4516.5200000000004</v>
      </c>
      <c r="M79" s="3"/>
      <c r="N79" s="2">
        <v>1750.35</v>
      </c>
      <c r="O79" s="3"/>
      <c r="P79" s="2">
        <v>5855.36</v>
      </c>
      <c r="Q79" s="3"/>
      <c r="R79" s="2">
        <v>0</v>
      </c>
      <c r="S79" s="3"/>
      <c r="T79" s="2">
        <v>10440.299999999999</v>
      </c>
      <c r="U79" s="3"/>
      <c r="V79" s="2">
        <v>0</v>
      </c>
      <c r="W79" s="3"/>
      <c r="X79" s="2">
        <v>8526.65</v>
      </c>
      <c r="Y79" s="3"/>
      <c r="Z79" s="2">
        <v>0</v>
      </c>
      <c r="AA79" s="3"/>
      <c r="AB79" s="2">
        <v>0</v>
      </c>
      <c r="AC79" s="3"/>
      <c r="AD79" s="2">
        <f>ROUND(SUM(F79:AB79),5)</f>
        <v>40119.769999999997</v>
      </c>
    </row>
    <row r="80" spans="1:30" x14ac:dyDescent="0.25">
      <c r="A80" s="1"/>
      <c r="B80" s="1"/>
      <c r="C80" s="1"/>
      <c r="D80" s="1" t="s">
        <v>91</v>
      </c>
      <c r="E80" s="1"/>
      <c r="F80" s="2">
        <v>0</v>
      </c>
      <c r="G80" s="3"/>
      <c r="H80" s="2">
        <v>0</v>
      </c>
      <c r="I80" s="3"/>
      <c r="J80" s="2">
        <v>5000</v>
      </c>
      <c r="K80" s="3"/>
      <c r="L80" s="2">
        <v>0</v>
      </c>
      <c r="M80" s="3"/>
      <c r="N80" s="2">
        <v>1000</v>
      </c>
      <c r="O80" s="3"/>
      <c r="P80" s="2">
        <v>1500</v>
      </c>
      <c r="Q80" s="3"/>
      <c r="R80" s="2">
        <v>2500</v>
      </c>
      <c r="S80" s="3"/>
      <c r="T80" s="2">
        <v>2000</v>
      </c>
      <c r="U80" s="3"/>
      <c r="V80" s="2">
        <v>8000</v>
      </c>
      <c r="W80" s="3"/>
      <c r="X80" s="2">
        <v>5000</v>
      </c>
      <c r="Y80" s="3"/>
      <c r="Z80" s="2">
        <v>0</v>
      </c>
      <c r="AA80" s="3"/>
      <c r="AB80" s="2">
        <v>672</v>
      </c>
      <c r="AC80" s="3"/>
      <c r="AD80" s="2">
        <f>ROUND(SUM(F80:AB80),5)</f>
        <v>25672</v>
      </c>
    </row>
    <row r="81" spans="1:30" x14ac:dyDescent="0.25">
      <c r="A81" s="1"/>
      <c r="B81" s="1"/>
      <c r="C81" s="1"/>
      <c r="D81" s="1" t="s">
        <v>92</v>
      </c>
      <c r="E81" s="1"/>
      <c r="F81" s="2">
        <v>11250</v>
      </c>
      <c r="G81" s="3"/>
      <c r="H81" s="2">
        <v>26000</v>
      </c>
      <c r="I81" s="3"/>
      <c r="J81" s="2">
        <v>5000</v>
      </c>
      <c r="K81" s="3"/>
      <c r="L81" s="2">
        <v>5000</v>
      </c>
      <c r="M81" s="3"/>
      <c r="N81" s="2">
        <v>0</v>
      </c>
      <c r="O81" s="3"/>
      <c r="P81" s="2">
        <v>24250</v>
      </c>
      <c r="Q81" s="3"/>
      <c r="R81" s="2">
        <v>0</v>
      </c>
      <c r="S81" s="3"/>
      <c r="T81" s="2">
        <v>0</v>
      </c>
      <c r="U81" s="3"/>
      <c r="V81" s="2">
        <v>31750</v>
      </c>
      <c r="W81" s="3"/>
      <c r="X81" s="2">
        <v>0</v>
      </c>
      <c r="Y81" s="3"/>
      <c r="Z81" s="2">
        <v>0</v>
      </c>
      <c r="AA81" s="3"/>
      <c r="AB81" s="2">
        <v>2500</v>
      </c>
      <c r="AC81" s="3"/>
      <c r="AD81" s="2">
        <f>ROUND(SUM(F81:AB81),5)</f>
        <v>105750</v>
      </c>
    </row>
    <row r="82" spans="1:30" x14ac:dyDescent="0.25">
      <c r="A82" s="1"/>
      <c r="B82" s="1"/>
      <c r="C82" s="1"/>
      <c r="D82" s="1" t="s">
        <v>93</v>
      </c>
      <c r="E82" s="1"/>
      <c r="F82" s="2">
        <v>2750</v>
      </c>
      <c r="G82" s="3"/>
      <c r="H82" s="2">
        <v>0</v>
      </c>
      <c r="I82" s="3"/>
      <c r="J82" s="2">
        <v>0</v>
      </c>
      <c r="K82" s="3"/>
      <c r="L82" s="2">
        <v>2750</v>
      </c>
      <c r="M82" s="3"/>
      <c r="N82" s="2">
        <v>2750</v>
      </c>
      <c r="O82" s="3"/>
      <c r="P82" s="2">
        <v>2750</v>
      </c>
      <c r="Q82" s="3"/>
      <c r="R82" s="2">
        <v>2750</v>
      </c>
      <c r="S82" s="3"/>
      <c r="T82" s="2">
        <v>2750</v>
      </c>
      <c r="U82" s="3"/>
      <c r="V82" s="2">
        <v>8250</v>
      </c>
      <c r="W82" s="3"/>
      <c r="X82" s="2">
        <v>2750</v>
      </c>
      <c r="Y82" s="3"/>
      <c r="Z82" s="2">
        <v>2750</v>
      </c>
      <c r="AA82" s="3"/>
      <c r="AB82" s="2">
        <v>2750</v>
      </c>
      <c r="AC82" s="3"/>
      <c r="AD82" s="2">
        <f>ROUND(SUM(F82:AB82),5)</f>
        <v>33000</v>
      </c>
    </row>
    <row r="83" spans="1:30" x14ac:dyDescent="0.25">
      <c r="A83" s="1"/>
      <c r="B83" s="1"/>
      <c r="C83" s="1"/>
      <c r="D83" s="1" t="s">
        <v>94</v>
      </c>
      <c r="E83" s="1"/>
      <c r="F83" s="2">
        <v>49</v>
      </c>
      <c r="G83" s="3"/>
      <c r="H83" s="2">
        <v>9183.5</v>
      </c>
      <c r="I83" s="3"/>
      <c r="J83" s="2">
        <v>49</v>
      </c>
      <c r="K83" s="3"/>
      <c r="L83" s="2">
        <v>22549</v>
      </c>
      <c r="M83" s="3"/>
      <c r="N83" s="2">
        <v>49</v>
      </c>
      <c r="O83" s="3"/>
      <c r="P83" s="2">
        <v>10949.35</v>
      </c>
      <c r="Q83" s="3"/>
      <c r="R83" s="2">
        <v>7549</v>
      </c>
      <c r="S83" s="3"/>
      <c r="T83" s="2">
        <v>49</v>
      </c>
      <c r="U83" s="3"/>
      <c r="V83" s="2">
        <v>49</v>
      </c>
      <c r="W83" s="3"/>
      <c r="X83" s="2">
        <v>0</v>
      </c>
      <c r="Y83" s="3"/>
      <c r="Z83" s="2">
        <v>12300</v>
      </c>
      <c r="AA83" s="3"/>
      <c r="AB83" s="2">
        <v>5000</v>
      </c>
      <c r="AC83" s="3"/>
      <c r="AD83" s="2">
        <f>ROUND(SUM(F83:AB83),5)</f>
        <v>67775.850000000006</v>
      </c>
    </row>
    <row r="84" spans="1:30" x14ac:dyDescent="0.25">
      <c r="A84" s="1"/>
      <c r="B84" s="1"/>
      <c r="C84" s="1"/>
      <c r="D84" s="1" t="s">
        <v>95</v>
      </c>
      <c r="E84" s="1"/>
      <c r="F84" s="2">
        <v>15000</v>
      </c>
      <c r="G84" s="3"/>
      <c r="H84" s="2">
        <v>0</v>
      </c>
      <c r="I84" s="3"/>
      <c r="J84" s="2">
        <v>0</v>
      </c>
      <c r="K84" s="3"/>
      <c r="L84" s="2">
        <v>0</v>
      </c>
      <c r="M84" s="3"/>
      <c r="N84" s="2">
        <v>0</v>
      </c>
      <c r="O84" s="3"/>
      <c r="P84" s="2">
        <v>0</v>
      </c>
      <c r="Q84" s="3"/>
      <c r="R84" s="2">
        <v>0</v>
      </c>
      <c r="S84" s="3"/>
      <c r="T84" s="2">
        <v>10000</v>
      </c>
      <c r="U84" s="3"/>
      <c r="V84" s="2">
        <v>0</v>
      </c>
      <c r="W84" s="3"/>
      <c r="X84" s="2">
        <v>10000</v>
      </c>
      <c r="Y84" s="3"/>
      <c r="Z84" s="2">
        <v>0</v>
      </c>
      <c r="AA84" s="3"/>
      <c r="AB84" s="2">
        <v>10000</v>
      </c>
      <c r="AC84" s="3"/>
      <c r="AD84" s="2">
        <f>ROUND(SUM(F84:AB84),5)</f>
        <v>45000</v>
      </c>
    </row>
    <row r="85" spans="1:30" x14ac:dyDescent="0.25">
      <c r="A85" s="1"/>
      <c r="B85" s="1"/>
      <c r="C85" s="1"/>
      <c r="D85" s="1" t="s">
        <v>96</v>
      </c>
      <c r="E85" s="1"/>
      <c r="F85" s="2">
        <v>305.60000000000002</v>
      </c>
      <c r="G85" s="3"/>
      <c r="H85" s="2">
        <v>378.95</v>
      </c>
      <c r="I85" s="3"/>
      <c r="J85" s="2">
        <v>316</v>
      </c>
      <c r="K85" s="3"/>
      <c r="L85" s="2">
        <v>367.95</v>
      </c>
      <c r="M85" s="3"/>
      <c r="N85" s="2">
        <v>340.35</v>
      </c>
      <c r="O85" s="3"/>
      <c r="P85" s="2">
        <v>359.98</v>
      </c>
      <c r="Q85" s="3"/>
      <c r="R85" s="2">
        <v>297.39</v>
      </c>
      <c r="S85" s="3"/>
      <c r="T85" s="2">
        <v>245.65</v>
      </c>
      <c r="U85" s="3"/>
      <c r="V85" s="2">
        <v>199.21</v>
      </c>
      <c r="W85" s="3"/>
      <c r="X85" s="2">
        <v>142.30000000000001</v>
      </c>
      <c r="Y85" s="3"/>
      <c r="Z85" s="2">
        <v>202.3</v>
      </c>
      <c r="AA85" s="3"/>
      <c r="AB85" s="2">
        <v>197.3</v>
      </c>
      <c r="AC85" s="3"/>
      <c r="AD85" s="2">
        <f>ROUND(SUM(F85:AB85),5)</f>
        <v>3352.98</v>
      </c>
    </row>
    <row r="86" spans="1:30" x14ac:dyDescent="0.25">
      <c r="A86" s="1"/>
      <c r="B86" s="1"/>
      <c r="C86" s="1"/>
      <c r="D86" s="1" t="s">
        <v>97</v>
      </c>
      <c r="E86" s="1"/>
      <c r="F86" s="2">
        <v>1213.8</v>
      </c>
      <c r="G86" s="3"/>
      <c r="H86" s="2">
        <v>1106.1300000000001</v>
      </c>
      <c r="I86" s="3"/>
      <c r="J86" s="2">
        <v>826.23</v>
      </c>
      <c r="K86" s="3"/>
      <c r="L86" s="2">
        <v>1044.82</v>
      </c>
      <c r="M86" s="3"/>
      <c r="N86" s="2">
        <v>1398.64</v>
      </c>
      <c r="O86" s="3"/>
      <c r="P86" s="2">
        <v>812.24</v>
      </c>
      <c r="Q86" s="3"/>
      <c r="R86" s="2">
        <v>1148.99</v>
      </c>
      <c r="S86" s="3"/>
      <c r="T86" s="2">
        <v>1821.02</v>
      </c>
      <c r="U86" s="3"/>
      <c r="V86" s="2">
        <v>848.64</v>
      </c>
      <c r="W86" s="3"/>
      <c r="X86" s="2">
        <v>1338.24</v>
      </c>
      <c r="Y86" s="3"/>
      <c r="Z86" s="2">
        <v>607.03</v>
      </c>
      <c r="AA86" s="3"/>
      <c r="AB86" s="2">
        <v>1117.96</v>
      </c>
      <c r="AC86" s="3"/>
      <c r="AD86" s="2">
        <f>ROUND(SUM(F86:AB86),5)</f>
        <v>13283.74</v>
      </c>
    </row>
    <row r="87" spans="1:30" x14ac:dyDescent="0.25">
      <c r="A87" s="1"/>
      <c r="B87" s="1"/>
      <c r="C87" s="1"/>
      <c r="D87" s="1" t="s">
        <v>98</v>
      </c>
      <c r="E87" s="1"/>
      <c r="F87" s="2">
        <v>95700.08</v>
      </c>
      <c r="G87" s="3"/>
      <c r="H87" s="2">
        <v>101822.49</v>
      </c>
      <c r="I87" s="3"/>
      <c r="J87" s="2">
        <v>103880.72</v>
      </c>
      <c r="K87" s="3"/>
      <c r="L87" s="2">
        <v>104534.53</v>
      </c>
      <c r="M87" s="3"/>
      <c r="N87" s="2">
        <v>160067.10999999999</v>
      </c>
      <c r="O87" s="3"/>
      <c r="P87" s="2">
        <v>105504.26</v>
      </c>
      <c r="Q87" s="3"/>
      <c r="R87" s="2">
        <v>103579.67</v>
      </c>
      <c r="S87" s="3"/>
      <c r="T87" s="2">
        <v>107614.86</v>
      </c>
      <c r="U87" s="3"/>
      <c r="V87" s="2">
        <v>132396.13</v>
      </c>
      <c r="W87" s="3"/>
      <c r="X87" s="2">
        <v>150089.25</v>
      </c>
      <c r="Y87" s="3"/>
      <c r="Z87" s="2">
        <v>104877.46</v>
      </c>
      <c r="AA87" s="3"/>
      <c r="AB87" s="2">
        <v>100288.3</v>
      </c>
      <c r="AC87" s="3"/>
      <c r="AD87" s="2">
        <f>ROUND(SUM(F87:AB87),5)</f>
        <v>1370354.86</v>
      </c>
    </row>
    <row r="88" spans="1:30" x14ac:dyDescent="0.25">
      <c r="A88" s="1"/>
      <c r="B88" s="1"/>
      <c r="C88" s="1"/>
      <c r="D88" s="1" t="s">
        <v>99</v>
      </c>
      <c r="E88" s="1"/>
      <c r="F88" s="2"/>
      <c r="G88" s="3"/>
      <c r="H88" s="2"/>
      <c r="I88" s="3"/>
      <c r="J88" s="2"/>
      <c r="K88" s="3"/>
      <c r="L88" s="2"/>
      <c r="M88" s="3"/>
      <c r="N88" s="2"/>
      <c r="O88" s="3"/>
      <c r="P88" s="2"/>
      <c r="Q88" s="3"/>
      <c r="R88" s="2"/>
      <c r="S88" s="3"/>
      <c r="T88" s="2"/>
      <c r="U88" s="3"/>
      <c r="V88" s="2"/>
      <c r="W88" s="3"/>
      <c r="X88" s="2"/>
      <c r="Y88" s="3"/>
      <c r="Z88" s="2"/>
      <c r="AA88" s="3"/>
      <c r="AB88" s="2"/>
      <c r="AC88" s="3"/>
      <c r="AD88" s="2"/>
    </row>
    <row r="89" spans="1:30" x14ac:dyDescent="0.25">
      <c r="A89" s="1"/>
      <c r="B89" s="1"/>
      <c r="C89" s="1"/>
      <c r="D89" s="1"/>
      <c r="E89" s="1" t="s">
        <v>100</v>
      </c>
      <c r="F89" s="2">
        <v>223600.71</v>
      </c>
      <c r="G89" s="3"/>
      <c r="H89" s="2">
        <v>170706.55</v>
      </c>
      <c r="I89" s="3"/>
      <c r="J89" s="2">
        <v>136420.21</v>
      </c>
      <c r="K89" s="3"/>
      <c r="L89" s="2">
        <v>181422.4</v>
      </c>
      <c r="M89" s="3"/>
      <c r="N89" s="2">
        <v>199688.48</v>
      </c>
      <c r="O89" s="3"/>
      <c r="P89" s="2">
        <v>193725.46</v>
      </c>
      <c r="Q89" s="3"/>
      <c r="R89" s="2">
        <v>236338.83</v>
      </c>
      <c r="S89" s="3"/>
      <c r="T89" s="2">
        <v>194322.54</v>
      </c>
      <c r="U89" s="3"/>
      <c r="V89" s="2">
        <v>248472.37</v>
      </c>
      <c r="W89" s="3"/>
      <c r="X89" s="2">
        <v>190168.85</v>
      </c>
      <c r="Y89" s="3"/>
      <c r="Z89" s="2">
        <v>271280.02</v>
      </c>
      <c r="AA89" s="3"/>
      <c r="AB89" s="2">
        <v>274743.99</v>
      </c>
      <c r="AC89" s="3"/>
      <c r="AD89" s="2">
        <f>ROUND(SUM(F89:AB89),5)</f>
        <v>2520890.41</v>
      </c>
    </row>
    <row r="90" spans="1:30" x14ac:dyDescent="0.25">
      <c r="A90" s="1"/>
      <c r="B90" s="1"/>
      <c r="C90" s="1"/>
      <c r="D90" s="1"/>
      <c r="E90" s="1" t="s">
        <v>101</v>
      </c>
      <c r="F90" s="2">
        <v>70395.05</v>
      </c>
      <c r="G90" s="3"/>
      <c r="H90" s="2">
        <v>74990.33</v>
      </c>
      <c r="I90" s="3"/>
      <c r="J90" s="2">
        <v>51367.1</v>
      </c>
      <c r="K90" s="3"/>
      <c r="L90" s="2">
        <v>64921.1</v>
      </c>
      <c r="M90" s="3"/>
      <c r="N90" s="2">
        <v>88819.35</v>
      </c>
      <c r="O90" s="3"/>
      <c r="P90" s="2">
        <v>69674.61</v>
      </c>
      <c r="Q90" s="3"/>
      <c r="R90" s="2">
        <v>86120.84</v>
      </c>
      <c r="S90" s="3"/>
      <c r="T90" s="2">
        <v>61034.94</v>
      </c>
      <c r="U90" s="3"/>
      <c r="V90" s="2">
        <v>74634.649999999994</v>
      </c>
      <c r="W90" s="3"/>
      <c r="X90" s="2">
        <v>61335.28</v>
      </c>
      <c r="Y90" s="3"/>
      <c r="Z90" s="2">
        <v>60999.99</v>
      </c>
      <c r="AA90" s="3"/>
      <c r="AB90" s="2">
        <v>52621.13</v>
      </c>
      <c r="AC90" s="3"/>
      <c r="AD90" s="2">
        <f>ROUND(SUM(F90:AB90),5)</f>
        <v>816914.37</v>
      </c>
    </row>
    <row r="91" spans="1:30" x14ac:dyDescent="0.25">
      <c r="A91" s="1"/>
      <c r="B91" s="1"/>
      <c r="C91" s="1"/>
      <c r="D91" s="1"/>
      <c r="E91" s="1" t="s">
        <v>102</v>
      </c>
      <c r="F91" s="2">
        <v>0</v>
      </c>
      <c r="G91" s="3"/>
      <c r="H91" s="2">
        <v>24153.25</v>
      </c>
      <c r="I91" s="3"/>
      <c r="J91" s="2">
        <v>5000</v>
      </c>
      <c r="K91" s="3"/>
      <c r="L91" s="2">
        <v>27877.02</v>
      </c>
      <c r="M91" s="3"/>
      <c r="N91" s="2">
        <v>29757.82</v>
      </c>
      <c r="O91" s="3"/>
      <c r="P91" s="2">
        <v>14383.01</v>
      </c>
      <c r="Q91" s="3"/>
      <c r="R91" s="2">
        <v>45601.36</v>
      </c>
      <c r="S91" s="3"/>
      <c r="T91" s="2">
        <v>31206.76</v>
      </c>
      <c r="U91" s="3"/>
      <c r="V91" s="2">
        <v>26532.23</v>
      </c>
      <c r="W91" s="3"/>
      <c r="X91" s="2">
        <v>15000</v>
      </c>
      <c r="Y91" s="3"/>
      <c r="Z91" s="2">
        <v>10000</v>
      </c>
      <c r="AA91" s="3"/>
      <c r="AB91" s="2">
        <v>0</v>
      </c>
      <c r="AC91" s="3"/>
      <c r="AD91" s="2">
        <f>ROUND(SUM(F91:AB91),5)</f>
        <v>229511.45</v>
      </c>
    </row>
    <row r="92" spans="1:30" ht="15.75" thickBot="1" x14ac:dyDescent="0.3">
      <c r="A92" s="1"/>
      <c r="B92" s="1"/>
      <c r="C92" s="1"/>
      <c r="D92" s="1"/>
      <c r="E92" s="1" t="s">
        <v>103</v>
      </c>
      <c r="F92" s="4">
        <v>0</v>
      </c>
      <c r="G92" s="3"/>
      <c r="H92" s="4">
        <v>0</v>
      </c>
      <c r="I92" s="3"/>
      <c r="J92" s="4">
        <v>0</v>
      </c>
      <c r="K92" s="3"/>
      <c r="L92" s="4">
        <v>0</v>
      </c>
      <c r="M92" s="3"/>
      <c r="N92" s="4">
        <v>0</v>
      </c>
      <c r="O92" s="3"/>
      <c r="P92" s="4">
        <v>0</v>
      </c>
      <c r="Q92" s="3"/>
      <c r="R92" s="4">
        <v>0</v>
      </c>
      <c r="S92" s="3"/>
      <c r="T92" s="4">
        <v>0</v>
      </c>
      <c r="U92" s="3"/>
      <c r="V92" s="4">
        <v>0</v>
      </c>
      <c r="W92" s="3"/>
      <c r="X92" s="4">
        <v>27473.82</v>
      </c>
      <c r="Y92" s="3"/>
      <c r="Z92" s="4">
        <v>41238.5</v>
      </c>
      <c r="AA92" s="3"/>
      <c r="AB92" s="4">
        <v>20269.099999999999</v>
      </c>
      <c r="AC92" s="3"/>
      <c r="AD92" s="4">
        <f>ROUND(SUM(F92:AB92),5)</f>
        <v>88981.42</v>
      </c>
    </row>
    <row r="93" spans="1:30" x14ac:dyDescent="0.25">
      <c r="A93" s="1"/>
      <c r="B93" s="1"/>
      <c r="C93" s="1"/>
      <c r="D93" s="1" t="s">
        <v>104</v>
      </c>
      <c r="E93" s="1"/>
      <c r="F93" s="2">
        <f>ROUND(SUM(F88:F92),5)</f>
        <v>293995.76</v>
      </c>
      <c r="G93" s="3"/>
      <c r="H93" s="2">
        <f>ROUND(SUM(H88:H92),5)</f>
        <v>269850.13</v>
      </c>
      <c r="I93" s="3"/>
      <c r="J93" s="2">
        <f>ROUND(SUM(J88:J92),5)</f>
        <v>192787.31</v>
      </c>
      <c r="K93" s="3"/>
      <c r="L93" s="2">
        <f>ROUND(SUM(L88:L92),5)</f>
        <v>274220.52</v>
      </c>
      <c r="M93" s="3"/>
      <c r="N93" s="2">
        <f>ROUND(SUM(N88:N92),5)</f>
        <v>318265.65000000002</v>
      </c>
      <c r="O93" s="3"/>
      <c r="P93" s="2">
        <f>ROUND(SUM(P88:P92),5)</f>
        <v>277783.08</v>
      </c>
      <c r="Q93" s="3"/>
      <c r="R93" s="2">
        <f>ROUND(SUM(R88:R92),5)</f>
        <v>368061.03</v>
      </c>
      <c r="S93" s="3"/>
      <c r="T93" s="2">
        <f>ROUND(SUM(T88:T92),5)</f>
        <v>286564.24</v>
      </c>
      <c r="U93" s="3"/>
      <c r="V93" s="2">
        <f>ROUND(SUM(V88:V92),5)</f>
        <v>349639.25</v>
      </c>
      <c r="W93" s="3"/>
      <c r="X93" s="2">
        <f>ROUND(SUM(X88:X92),5)</f>
        <v>293977.95</v>
      </c>
      <c r="Y93" s="3"/>
      <c r="Z93" s="2">
        <f>ROUND(SUM(Z88:Z92),5)</f>
        <v>383518.51</v>
      </c>
      <c r="AA93" s="3"/>
      <c r="AB93" s="2">
        <f>ROUND(SUM(AB88:AB92),5)</f>
        <v>347634.22</v>
      </c>
      <c r="AC93" s="3"/>
      <c r="AD93" s="2">
        <f>ROUND(SUM(F93:AB93),5)</f>
        <v>3656297.65</v>
      </c>
    </row>
    <row r="94" spans="1:30" x14ac:dyDescent="0.25">
      <c r="A94" s="1"/>
      <c r="B94" s="1"/>
      <c r="C94" s="1"/>
      <c r="D94" s="1" t="s">
        <v>105</v>
      </c>
      <c r="E94" s="1"/>
      <c r="F94" s="2"/>
      <c r="G94" s="3"/>
      <c r="H94" s="2"/>
      <c r="I94" s="3"/>
      <c r="J94" s="2"/>
      <c r="K94" s="3"/>
      <c r="L94" s="2"/>
      <c r="M94" s="3"/>
      <c r="N94" s="2"/>
      <c r="O94" s="3"/>
      <c r="P94" s="2"/>
      <c r="Q94" s="3"/>
      <c r="R94" s="2"/>
      <c r="S94" s="3"/>
      <c r="T94" s="2"/>
      <c r="U94" s="3"/>
      <c r="V94" s="2"/>
      <c r="W94" s="3"/>
      <c r="X94" s="2"/>
      <c r="Y94" s="3"/>
      <c r="Z94" s="2"/>
      <c r="AA94" s="3"/>
      <c r="AB94" s="2"/>
      <c r="AC94" s="3"/>
      <c r="AD94" s="2"/>
    </row>
    <row r="95" spans="1:30" x14ac:dyDescent="0.25">
      <c r="A95" s="1"/>
      <c r="B95" s="1"/>
      <c r="C95" s="1"/>
      <c r="D95" s="1"/>
      <c r="E95" s="1" t="s">
        <v>106</v>
      </c>
      <c r="F95" s="2">
        <v>2200</v>
      </c>
      <c r="G95" s="3"/>
      <c r="H95" s="2">
        <v>1760</v>
      </c>
      <c r="I95" s="3"/>
      <c r="J95" s="2">
        <v>1760</v>
      </c>
      <c r="K95" s="3"/>
      <c r="L95" s="2">
        <v>1760</v>
      </c>
      <c r="M95" s="3"/>
      <c r="N95" s="2">
        <v>2200</v>
      </c>
      <c r="O95" s="3"/>
      <c r="P95" s="2">
        <v>1760</v>
      </c>
      <c r="Q95" s="3"/>
      <c r="R95" s="2">
        <v>0</v>
      </c>
      <c r="S95" s="3"/>
      <c r="T95" s="2">
        <v>2200</v>
      </c>
      <c r="U95" s="3"/>
      <c r="V95" s="2">
        <v>1760</v>
      </c>
      <c r="W95" s="3"/>
      <c r="X95" s="2">
        <v>3080</v>
      </c>
      <c r="Y95" s="3"/>
      <c r="Z95" s="2">
        <v>0</v>
      </c>
      <c r="AA95" s="3"/>
      <c r="AB95" s="2">
        <v>0</v>
      </c>
      <c r="AC95" s="3"/>
      <c r="AD95" s="2">
        <f>ROUND(SUM(F95:AB95),5)</f>
        <v>18480</v>
      </c>
    </row>
    <row r="96" spans="1:30" ht="15.75" thickBot="1" x14ac:dyDescent="0.3">
      <c r="A96" s="1"/>
      <c r="B96" s="1"/>
      <c r="C96" s="1"/>
      <c r="D96" s="1"/>
      <c r="E96" s="1" t="s">
        <v>107</v>
      </c>
      <c r="F96" s="4">
        <v>0</v>
      </c>
      <c r="G96" s="3"/>
      <c r="H96" s="4">
        <v>0</v>
      </c>
      <c r="I96" s="3"/>
      <c r="J96" s="4">
        <v>0</v>
      </c>
      <c r="K96" s="3"/>
      <c r="L96" s="4">
        <v>0</v>
      </c>
      <c r="M96" s="3"/>
      <c r="N96" s="4">
        <v>0</v>
      </c>
      <c r="O96" s="3"/>
      <c r="P96" s="4">
        <v>0</v>
      </c>
      <c r="Q96" s="3"/>
      <c r="R96" s="4">
        <v>1760</v>
      </c>
      <c r="S96" s="3"/>
      <c r="T96" s="4">
        <v>0</v>
      </c>
      <c r="U96" s="3"/>
      <c r="V96" s="4">
        <v>0</v>
      </c>
      <c r="W96" s="3"/>
      <c r="X96" s="4">
        <v>0</v>
      </c>
      <c r="Y96" s="3"/>
      <c r="Z96" s="4">
        <v>0</v>
      </c>
      <c r="AA96" s="3"/>
      <c r="AB96" s="4">
        <v>0</v>
      </c>
      <c r="AC96" s="3"/>
      <c r="AD96" s="4">
        <f>ROUND(SUM(F96:AB96),5)</f>
        <v>1760</v>
      </c>
    </row>
    <row r="97" spans="1:30" x14ac:dyDescent="0.25">
      <c r="A97" s="1"/>
      <c r="B97" s="1"/>
      <c r="C97" s="1"/>
      <c r="D97" s="1" t="s">
        <v>108</v>
      </c>
      <c r="E97" s="1"/>
      <c r="F97" s="2">
        <f>ROUND(SUM(F94:F96),5)</f>
        <v>2200</v>
      </c>
      <c r="G97" s="3"/>
      <c r="H97" s="2">
        <f>ROUND(SUM(H94:H96),5)</f>
        <v>1760</v>
      </c>
      <c r="I97" s="3"/>
      <c r="J97" s="2">
        <f>ROUND(SUM(J94:J96),5)</f>
        <v>1760</v>
      </c>
      <c r="K97" s="3"/>
      <c r="L97" s="2">
        <f>ROUND(SUM(L94:L96),5)</f>
        <v>1760</v>
      </c>
      <c r="M97" s="3"/>
      <c r="N97" s="2">
        <f>ROUND(SUM(N94:N96),5)</f>
        <v>2200</v>
      </c>
      <c r="O97" s="3"/>
      <c r="P97" s="2">
        <f>ROUND(SUM(P94:P96),5)</f>
        <v>1760</v>
      </c>
      <c r="Q97" s="3"/>
      <c r="R97" s="2">
        <f>ROUND(SUM(R94:R96),5)</f>
        <v>1760</v>
      </c>
      <c r="S97" s="3"/>
      <c r="T97" s="2">
        <f>ROUND(SUM(T94:T96),5)</f>
        <v>2200</v>
      </c>
      <c r="U97" s="3"/>
      <c r="V97" s="2">
        <f>ROUND(SUM(V94:V96),5)</f>
        <v>1760</v>
      </c>
      <c r="W97" s="3"/>
      <c r="X97" s="2">
        <f>ROUND(SUM(X94:X96),5)</f>
        <v>3080</v>
      </c>
      <c r="Y97" s="3"/>
      <c r="Z97" s="2">
        <f>ROUND(SUM(Z94:Z96),5)</f>
        <v>0</v>
      </c>
      <c r="AA97" s="3"/>
      <c r="AB97" s="2">
        <f>ROUND(SUM(AB94:AB96),5)</f>
        <v>0</v>
      </c>
      <c r="AC97" s="3"/>
      <c r="AD97" s="2">
        <f>ROUND(SUM(F97:AB97),5)</f>
        <v>20240</v>
      </c>
    </row>
    <row r="98" spans="1:30" x14ac:dyDescent="0.25">
      <c r="A98" s="1"/>
      <c r="B98" s="1"/>
      <c r="C98" s="1"/>
      <c r="D98" s="1" t="s">
        <v>109</v>
      </c>
      <c r="E98" s="1"/>
      <c r="F98" s="2"/>
      <c r="G98" s="3"/>
      <c r="H98" s="2"/>
      <c r="I98" s="3"/>
      <c r="J98" s="2"/>
      <c r="K98" s="3"/>
      <c r="L98" s="2"/>
      <c r="M98" s="3"/>
      <c r="N98" s="2"/>
      <c r="O98" s="3"/>
      <c r="P98" s="2"/>
      <c r="Q98" s="3"/>
      <c r="R98" s="2"/>
      <c r="S98" s="3"/>
      <c r="T98" s="2"/>
      <c r="U98" s="3"/>
      <c r="V98" s="2"/>
      <c r="W98" s="3"/>
      <c r="X98" s="2"/>
      <c r="Y98" s="3"/>
      <c r="Z98" s="2"/>
      <c r="AA98" s="3"/>
      <c r="AB98" s="2"/>
      <c r="AC98" s="3"/>
      <c r="AD98" s="2"/>
    </row>
    <row r="99" spans="1:30" x14ac:dyDescent="0.25">
      <c r="A99" s="1"/>
      <c r="B99" s="1"/>
      <c r="C99" s="1"/>
      <c r="D99" s="1"/>
      <c r="E99" s="1" t="s">
        <v>110</v>
      </c>
      <c r="F99" s="2">
        <v>15000</v>
      </c>
      <c r="G99" s="3"/>
      <c r="H99" s="2">
        <v>30000</v>
      </c>
      <c r="I99" s="3"/>
      <c r="J99" s="2">
        <v>36000</v>
      </c>
      <c r="K99" s="3"/>
      <c r="L99" s="2">
        <v>24682.81</v>
      </c>
      <c r="M99" s="3"/>
      <c r="N99" s="2">
        <v>58998.2</v>
      </c>
      <c r="O99" s="3"/>
      <c r="P99" s="2">
        <v>28578.38</v>
      </c>
      <c r="Q99" s="3"/>
      <c r="R99" s="2">
        <v>73477.02</v>
      </c>
      <c r="S99" s="3"/>
      <c r="T99" s="2">
        <v>28628.92</v>
      </c>
      <c r="U99" s="3"/>
      <c r="V99" s="2">
        <v>35598.449999999997</v>
      </c>
      <c r="W99" s="3"/>
      <c r="X99" s="2">
        <v>42795.9</v>
      </c>
      <c r="Y99" s="3"/>
      <c r="Z99" s="2">
        <v>53957.86</v>
      </c>
      <c r="AA99" s="3"/>
      <c r="AB99" s="2">
        <v>28628.92</v>
      </c>
      <c r="AC99" s="3"/>
      <c r="AD99" s="2">
        <f>ROUND(SUM(F99:AB99),5)</f>
        <v>456346.46</v>
      </c>
    </row>
    <row r="100" spans="1:30" x14ac:dyDescent="0.25">
      <c r="A100" s="1"/>
      <c r="B100" s="1"/>
      <c r="C100" s="1"/>
      <c r="D100" s="1"/>
      <c r="E100" s="1" t="s">
        <v>111</v>
      </c>
      <c r="F100" s="2">
        <v>10000</v>
      </c>
      <c r="G100" s="3"/>
      <c r="H100" s="2">
        <v>40000</v>
      </c>
      <c r="I100" s="3"/>
      <c r="J100" s="2">
        <v>35000</v>
      </c>
      <c r="K100" s="3"/>
      <c r="L100" s="2">
        <v>27759.54</v>
      </c>
      <c r="M100" s="3"/>
      <c r="N100" s="2">
        <v>66547.27</v>
      </c>
      <c r="O100" s="3"/>
      <c r="P100" s="2">
        <v>49034.82</v>
      </c>
      <c r="Q100" s="3"/>
      <c r="R100" s="2">
        <v>34112.07</v>
      </c>
      <c r="S100" s="3"/>
      <c r="T100" s="2">
        <v>75265.740000000005</v>
      </c>
      <c r="U100" s="3"/>
      <c r="V100" s="2">
        <v>107465.15</v>
      </c>
      <c r="W100" s="3"/>
      <c r="X100" s="2">
        <v>31195.95</v>
      </c>
      <c r="Y100" s="3"/>
      <c r="Z100" s="2">
        <v>37687.22</v>
      </c>
      <c r="AA100" s="3"/>
      <c r="AB100" s="2">
        <v>28934.17</v>
      </c>
      <c r="AC100" s="3"/>
      <c r="AD100" s="2">
        <f>ROUND(SUM(F100:AB100),5)</f>
        <v>543001.93000000005</v>
      </c>
    </row>
    <row r="101" spans="1:30" x14ac:dyDescent="0.25">
      <c r="A101" s="1"/>
      <c r="B101" s="1"/>
      <c r="C101" s="1"/>
      <c r="D101" s="1"/>
      <c r="E101" s="1" t="s">
        <v>112</v>
      </c>
      <c r="F101" s="2">
        <v>14916.66</v>
      </c>
      <c r="G101" s="3"/>
      <c r="H101" s="2">
        <v>14916.66</v>
      </c>
      <c r="I101" s="3"/>
      <c r="J101" s="2">
        <v>15541.67</v>
      </c>
      <c r="K101" s="3"/>
      <c r="L101" s="2">
        <v>15541.67</v>
      </c>
      <c r="M101" s="3"/>
      <c r="N101" s="2">
        <v>15541.67</v>
      </c>
      <c r="O101" s="3"/>
      <c r="P101" s="2">
        <v>15541.67</v>
      </c>
      <c r="Q101" s="3"/>
      <c r="R101" s="2">
        <v>15541.67</v>
      </c>
      <c r="S101" s="3"/>
      <c r="T101" s="2">
        <v>15541.67</v>
      </c>
      <c r="U101" s="3"/>
      <c r="V101" s="2">
        <v>15541.67</v>
      </c>
      <c r="W101" s="3"/>
      <c r="X101" s="2">
        <v>15541.62</v>
      </c>
      <c r="Y101" s="3"/>
      <c r="Z101" s="2">
        <v>0</v>
      </c>
      <c r="AA101" s="3"/>
      <c r="AB101" s="2">
        <v>0</v>
      </c>
      <c r="AC101" s="3"/>
      <c r="AD101" s="2">
        <f>ROUND(SUM(F101:AB101),5)</f>
        <v>154166.63</v>
      </c>
    </row>
    <row r="102" spans="1:30" x14ac:dyDescent="0.25">
      <c r="A102" s="1"/>
      <c r="B102" s="1"/>
      <c r="C102" s="1"/>
      <c r="D102" s="1"/>
      <c r="E102" s="1" t="s">
        <v>113</v>
      </c>
      <c r="F102" s="2">
        <v>0</v>
      </c>
      <c r="G102" s="3"/>
      <c r="H102" s="2">
        <v>0</v>
      </c>
      <c r="I102" s="3"/>
      <c r="J102" s="2">
        <v>12880</v>
      </c>
      <c r="K102" s="3"/>
      <c r="L102" s="2">
        <v>2880</v>
      </c>
      <c r="M102" s="3"/>
      <c r="N102" s="2">
        <v>0</v>
      </c>
      <c r="O102" s="3"/>
      <c r="P102" s="2">
        <v>2880</v>
      </c>
      <c r="Q102" s="3"/>
      <c r="R102" s="2">
        <v>0</v>
      </c>
      <c r="S102" s="3"/>
      <c r="T102" s="2">
        <v>0</v>
      </c>
      <c r="U102" s="3"/>
      <c r="V102" s="2">
        <v>0</v>
      </c>
      <c r="W102" s="3"/>
      <c r="X102" s="2">
        <v>0</v>
      </c>
      <c r="Y102" s="3"/>
      <c r="Z102" s="2">
        <v>0</v>
      </c>
      <c r="AA102" s="3"/>
      <c r="AB102" s="2">
        <v>0</v>
      </c>
      <c r="AC102" s="3"/>
      <c r="AD102" s="2">
        <f>ROUND(SUM(F102:AB102),5)</f>
        <v>18640</v>
      </c>
    </row>
    <row r="103" spans="1:30" x14ac:dyDescent="0.25">
      <c r="A103" s="1"/>
      <c r="B103" s="1"/>
      <c r="C103" s="1"/>
      <c r="D103" s="1"/>
      <c r="E103" s="1" t="s">
        <v>114</v>
      </c>
      <c r="F103" s="2">
        <v>0</v>
      </c>
      <c r="G103" s="3"/>
      <c r="H103" s="2">
        <v>7000</v>
      </c>
      <c r="I103" s="3"/>
      <c r="J103" s="2">
        <v>7600</v>
      </c>
      <c r="K103" s="3"/>
      <c r="L103" s="2">
        <v>12400</v>
      </c>
      <c r="M103" s="3"/>
      <c r="N103" s="2">
        <v>11163.92</v>
      </c>
      <c r="O103" s="3"/>
      <c r="P103" s="2">
        <v>14253.25</v>
      </c>
      <c r="Q103" s="3"/>
      <c r="R103" s="2">
        <v>10568.95</v>
      </c>
      <c r="S103" s="3"/>
      <c r="T103" s="2">
        <v>6300</v>
      </c>
      <c r="U103" s="3"/>
      <c r="V103" s="2">
        <v>14700</v>
      </c>
      <c r="W103" s="3"/>
      <c r="X103" s="2">
        <v>12600</v>
      </c>
      <c r="Y103" s="3"/>
      <c r="Z103" s="2">
        <v>2600</v>
      </c>
      <c r="AA103" s="3"/>
      <c r="AB103" s="2">
        <v>18300</v>
      </c>
      <c r="AC103" s="3"/>
      <c r="AD103" s="2">
        <f>ROUND(SUM(F103:AB103),5)</f>
        <v>117486.12</v>
      </c>
    </row>
    <row r="104" spans="1:30" ht="15.75" thickBot="1" x14ac:dyDescent="0.3">
      <c r="A104" s="1"/>
      <c r="B104" s="1"/>
      <c r="C104" s="1"/>
      <c r="D104" s="1"/>
      <c r="E104" s="1" t="s">
        <v>115</v>
      </c>
      <c r="F104" s="4">
        <v>0</v>
      </c>
      <c r="G104" s="3"/>
      <c r="H104" s="4">
        <v>0</v>
      </c>
      <c r="I104" s="3"/>
      <c r="J104" s="4">
        <v>0</v>
      </c>
      <c r="K104" s="3"/>
      <c r="L104" s="4">
        <v>0</v>
      </c>
      <c r="M104" s="3"/>
      <c r="N104" s="4">
        <v>0</v>
      </c>
      <c r="O104" s="3"/>
      <c r="P104" s="4">
        <v>7500</v>
      </c>
      <c r="Q104" s="3"/>
      <c r="R104" s="4">
        <v>15000</v>
      </c>
      <c r="S104" s="3"/>
      <c r="T104" s="4">
        <v>15000</v>
      </c>
      <c r="U104" s="3"/>
      <c r="V104" s="4">
        <v>15000</v>
      </c>
      <c r="W104" s="3"/>
      <c r="X104" s="4">
        <v>22090.89</v>
      </c>
      <c r="Y104" s="3"/>
      <c r="Z104" s="4">
        <v>19214.080000000002</v>
      </c>
      <c r="AA104" s="3"/>
      <c r="AB104" s="4">
        <v>0</v>
      </c>
      <c r="AC104" s="3"/>
      <c r="AD104" s="4">
        <f>ROUND(SUM(F104:AB104),5)</f>
        <v>93804.97</v>
      </c>
    </row>
    <row r="105" spans="1:30" x14ac:dyDescent="0.25">
      <c r="A105" s="1"/>
      <c r="B105" s="1"/>
      <c r="C105" s="1"/>
      <c r="D105" s="1" t="s">
        <v>116</v>
      </c>
      <c r="E105" s="1"/>
      <c r="F105" s="2">
        <f>ROUND(SUM(F98:F104),5)</f>
        <v>39916.660000000003</v>
      </c>
      <c r="G105" s="3"/>
      <c r="H105" s="2">
        <f>ROUND(SUM(H98:H104),5)</f>
        <v>91916.66</v>
      </c>
      <c r="I105" s="3"/>
      <c r="J105" s="2">
        <f>ROUND(SUM(J98:J104),5)</f>
        <v>107021.67</v>
      </c>
      <c r="K105" s="3"/>
      <c r="L105" s="2">
        <f>ROUND(SUM(L98:L104),5)</f>
        <v>83264.02</v>
      </c>
      <c r="M105" s="3"/>
      <c r="N105" s="2">
        <f>ROUND(SUM(N98:N104),5)</f>
        <v>152251.06</v>
      </c>
      <c r="O105" s="3"/>
      <c r="P105" s="2">
        <f>ROUND(SUM(P98:P104),5)</f>
        <v>117788.12</v>
      </c>
      <c r="Q105" s="3"/>
      <c r="R105" s="2">
        <f>ROUND(SUM(R98:R104),5)</f>
        <v>148699.71</v>
      </c>
      <c r="S105" s="3"/>
      <c r="T105" s="2">
        <f>ROUND(SUM(T98:T104),5)</f>
        <v>140736.32999999999</v>
      </c>
      <c r="U105" s="3"/>
      <c r="V105" s="2">
        <f>ROUND(SUM(V98:V104),5)</f>
        <v>188305.27</v>
      </c>
      <c r="W105" s="3"/>
      <c r="X105" s="2">
        <f>ROUND(SUM(X98:X104),5)</f>
        <v>124224.36</v>
      </c>
      <c r="Y105" s="3"/>
      <c r="Z105" s="2">
        <f>ROUND(SUM(Z98:Z104),5)</f>
        <v>113459.16</v>
      </c>
      <c r="AA105" s="3"/>
      <c r="AB105" s="2">
        <f>ROUND(SUM(AB98:AB104),5)</f>
        <v>75863.09</v>
      </c>
      <c r="AC105" s="3"/>
      <c r="AD105" s="2">
        <f>ROUND(SUM(F105:AB105),5)</f>
        <v>1383446.11</v>
      </c>
    </row>
    <row r="106" spans="1:30" x14ac:dyDescent="0.25">
      <c r="A106" s="1"/>
      <c r="B106" s="1"/>
      <c r="C106" s="1"/>
      <c r="D106" s="1" t="s">
        <v>117</v>
      </c>
      <c r="E106" s="1"/>
      <c r="F106" s="2"/>
      <c r="G106" s="3"/>
      <c r="H106" s="2"/>
      <c r="I106" s="3"/>
      <c r="J106" s="2"/>
      <c r="K106" s="3"/>
      <c r="L106" s="2"/>
      <c r="M106" s="3"/>
      <c r="N106" s="2"/>
      <c r="O106" s="3"/>
      <c r="P106" s="2"/>
      <c r="Q106" s="3"/>
      <c r="R106" s="2"/>
      <c r="S106" s="3"/>
      <c r="T106" s="2"/>
      <c r="U106" s="3"/>
      <c r="V106" s="2"/>
      <c r="W106" s="3"/>
      <c r="X106" s="2"/>
      <c r="Y106" s="3"/>
      <c r="Z106" s="2"/>
      <c r="AA106" s="3"/>
      <c r="AB106" s="2"/>
      <c r="AC106" s="3"/>
      <c r="AD106" s="2"/>
    </row>
    <row r="107" spans="1:30" x14ac:dyDescent="0.25">
      <c r="A107" s="1"/>
      <c r="B107" s="1"/>
      <c r="C107" s="1"/>
      <c r="D107" s="1"/>
      <c r="E107" s="1" t="s">
        <v>118</v>
      </c>
      <c r="F107" s="2">
        <v>25307.99</v>
      </c>
      <c r="G107" s="3"/>
      <c r="H107" s="2">
        <v>18574.66</v>
      </c>
      <c r="I107" s="3"/>
      <c r="J107" s="2">
        <v>12584.1</v>
      </c>
      <c r="K107" s="3"/>
      <c r="L107" s="2">
        <v>13804.14</v>
      </c>
      <c r="M107" s="3"/>
      <c r="N107" s="2">
        <v>18396.72</v>
      </c>
      <c r="O107" s="3"/>
      <c r="P107" s="2">
        <v>12782.88</v>
      </c>
      <c r="Q107" s="3"/>
      <c r="R107" s="2">
        <v>15882.08</v>
      </c>
      <c r="S107" s="3"/>
      <c r="T107" s="2">
        <v>13893.7</v>
      </c>
      <c r="U107" s="3"/>
      <c r="V107" s="2">
        <v>13093.18</v>
      </c>
      <c r="W107" s="3"/>
      <c r="X107" s="2">
        <v>15161.18</v>
      </c>
      <c r="Y107" s="3"/>
      <c r="Z107" s="2">
        <v>8472.8700000000008</v>
      </c>
      <c r="AA107" s="3"/>
      <c r="AB107" s="2">
        <v>17075.71</v>
      </c>
      <c r="AC107" s="3"/>
      <c r="AD107" s="2">
        <f>ROUND(SUM(F107:AB107),5)</f>
        <v>185029.21</v>
      </c>
    </row>
    <row r="108" spans="1:30" x14ac:dyDescent="0.25">
      <c r="A108" s="1"/>
      <c r="B108" s="1"/>
      <c r="C108" s="1"/>
      <c r="D108" s="1"/>
      <c r="E108" s="1" t="s">
        <v>119</v>
      </c>
      <c r="F108" s="2">
        <v>3011.62</v>
      </c>
      <c r="G108" s="3"/>
      <c r="H108" s="2">
        <v>417.55</v>
      </c>
      <c r="I108" s="3"/>
      <c r="J108" s="2">
        <v>173.53</v>
      </c>
      <c r="K108" s="3"/>
      <c r="L108" s="2">
        <v>93.25</v>
      </c>
      <c r="M108" s="3"/>
      <c r="N108" s="2">
        <v>118.08</v>
      </c>
      <c r="O108" s="3"/>
      <c r="P108" s="2">
        <v>47.22</v>
      </c>
      <c r="Q108" s="3"/>
      <c r="R108" s="2">
        <v>61.58</v>
      </c>
      <c r="S108" s="3"/>
      <c r="T108" s="2">
        <v>64.95</v>
      </c>
      <c r="U108" s="3"/>
      <c r="V108" s="2">
        <v>76.5</v>
      </c>
      <c r="W108" s="3"/>
      <c r="X108" s="2">
        <v>122.73</v>
      </c>
      <c r="Y108" s="3"/>
      <c r="Z108" s="2">
        <v>27.48</v>
      </c>
      <c r="AA108" s="3"/>
      <c r="AB108" s="2">
        <v>15.71</v>
      </c>
      <c r="AC108" s="3"/>
      <c r="AD108" s="2">
        <f>ROUND(SUM(F108:AB108),5)</f>
        <v>4230.2</v>
      </c>
    </row>
    <row r="109" spans="1:30" x14ac:dyDescent="0.25">
      <c r="A109" s="1"/>
      <c r="B109" s="1"/>
      <c r="C109" s="1"/>
      <c r="D109" s="1"/>
      <c r="E109" s="1" t="s">
        <v>120</v>
      </c>
      <c r="F109" s="2">
        <v>2355.11</v>
      </c>
      <c r="G109" s="3"/>
      <c r="H109" s="2">
        <v>2095.16</v>
      </c>
      <c r="I109" s="3"/>
      <c r="J109" s="2">
        <v>1304.33</v>
      </c>
      <c r="K109" s="3"/>
      <c r="L109" s="2">
        <v>1032.92</v>
      </c>
      <c r="M109" s="3"/>
      <c r="N109" s="2">
        <v>911.14</v>
      </c>
      <c r="O109" s="3"/>
      <c r="P109" s="2">
        <v>505.72</v>
      </c>
      <c r="Q109" s="3"/>
      <c r="R109" s="2">
        <v>485.78</v>
      </c>
      <c r="S109" s="3"/>
      <c r="T109" s="2">
        <v>342.03</v>
      </c>
      <c r="U109" s="3"/>
      <c r="V109" s="2">
        <v>313.3</v>
      </c>
      <c r="W109" s="3"/>
      <c r="X109" s="2">
        <v>644.80999999999995</v>
      </c>
      <c r="Y109" s="3"/>
      <c r="Z109" s="2">
        <v>310.49</v>
      </c>
      <c r="AA109" s="3"/>
      <c r="AB109" s="2">
        <v>169.1</v>
      </c>
      <c r="AC109" s="3"/>
      <c r="AD109" s="2">
        <f>ROUND(SUM(F109:AB109),5)</f>
        <v>10469.89</v>
      </c>
    </row>
    <row r="110" spans="1:30" x14ac:dyDescent="0.25">
      <c r="A110" s="1"/>
      <c r="B110" s="1"/>
      <c r="C110" s="1"/>
      <c r="D110" s="1"/>
      <c r="E110" s="1" t="s">
        <v>121</v>
      </c>
      <c r="F110" s="2">
        <v>87.25</v>
      </c>
      <c r="G110" s="3"/>
      <c r="H110" s="2">
        <v>77.61</v>
      </c>
      <c r="I110" s="3"/>
      <c r="J110" s="2">
        <v>48.34</v>
      </c>
      <c r="K110" s="3"/>
      <c r="L110" s="2">
        <v>175.51</v>
      </c>
      <c r="M110" s="3"/>
      <c r="N110" s="2">
        <v>33.729999999999997</v>
      </c>
      <c r="O110" s="3"/>
      <c r="P110" s="2">
        <v>18.73</v>
      </c>
      <c r="Q110" s="3"/>
      <c r="R110" s="2">
        <v>18.010000000000002</v>
      </c>
      <c r="S110" s="3"/>
      <c r="T110" s="2">
        <v>12.67</v>
      </c>
      <c r="U110" s="3"/>
      <c r="V110" s="2">
        <v>11.61</v>
      </c>
      <c r="W110" s="3"/>
      <c r="X110" s="2">
        <v>23.84</v>
      </c>
      <c r="Y110" s="3"/>
      <c r="Z110" s="2">
        <v>11.51</v>
      </c>
      <c r="AA110" s="3"/>
      <c r="AB110" s="2">
        <v>6.26</v>
      </c>
      <c r="AC110" s="3"/>
      <c r="AD110" s="2">
        <f>ROUND(SUM(F110:AB110),5)</f>
        <v>525.07000000000005</v>
      </c>
    </row>
    <row r="111" spans="1:30" ht="15.75" thickBot="1" x14ac:dyDescent="0.3">
      <c r="A111" s="1"/>
      <c r="B111" s="1"/>
      <c r="C111" s="1"/>
      <c r="D111" s="1"/>
      <c r="E111" s="1" t="s">
        <v>122</v>
      </c>
      <c r="F111" s="4">
        <v>2290.79</v>
      </c>
      <c r="G111" s="3"/>
      <c r="H111" s="4">
        <v>2212.13</v>
      </c>
      <c r="I111" s="3"/>
      <c r="J111" s="4">
        <v>1765.29</v>
      </c>
      <c r="K111" s="3"/>
      <c r="L111" s="4">
        <v>2117.08</v>
      </c>
      <c r="M111" s="3"/>
      <c r="N111" s="4">
        <v>2842.13</v>
      </c>
      <c r="O111" s="3"/>
      <c r="P111" s="4">
        <v>2282.02</v>
      </c>
      <c r="Q111" s="3"/>
      <c r="R111" s="4">
        <v>2802.25</v>
      </c>
      <c r="S111" s="3"/>
      <c r="T111" s="4">
        <v>2338.2800000000002</v>
      </c>
      <c r="U111" s="3"/>
      <c r="V111" s="4">
        <v>2852.42</v>
      </c>
      <c r="W111" s="3"/>
      <c r="X111" s="4">
        <v>2561.5100000000002</v>
      </c>
      <c r="Y111" s="3"/>
      <c r="Z111" s="4">
        <v>862.29</v>
      </c>
      <c r="AA111" s="3"/>
      <c r="AB111" s="4">
        <v>4551.8500000000004</v>
      </c>
      <c r="AC111" s="3"/>
      <c r="AD111" s="4">
        <f>ROUND(SUM(F111:AB111),5)</f>
        <v>29478.04</v>
      </c>
    </row>
    <row r="112" spans="1:30" x14ac:dyDescent="0.25">
      <c r="A112" s="1"/>
      <c r="B112" s="1"/>
      <c r="C112" s="1"/>
      <c r="D112" s="1" t="s">
        <v>123</v>
      </c>
      <c r="E112" s="1"/>
      <c r="F112" s="2">
        <f>ROUND(SUM(F106:F111),5)</f>
        <v>33052.76</v>
      </c>
      <c r="G112" s="3"/>
      <c r="H112" s="2">
        <f>ROUND(SUM(H106:H111),5)</f>
        <v>23377.11</v>
      </c>
      <c r="I112" s="3"/>
      <c r="J112" s="2">
        <f>ROUND(SUM(J106:J111),5)</f>
        <v>15875.59</v>
      </c>
      <c r="K112" s="3"/>
      <c r="L112" s="2">
        <f>ROUND(SUM(L106:L111),5)</f>
        <v>17222.900000000001</v>
      </c>
      <c r="M112" s="3"/>
      <c r="N112" s="2">
        <f>ROUND(SUM(N106:N111),5)</f>
        <v>22301.8</v>
      </c>
      <c r="O112" s="3"/>
      <c r="P112" s="2">
        <f>ROUND(SUM(P106:P111),5)</f>
        <v>15636.57</v>
      </c>
      <c r="Q112" s="3"/>
      <c r="R112" s="2">
        <f>ROUND(SUM(R106:R111),5)</f>
        <v>19249.7</v>
      </c>
      <c r="S112" s="3"/>
      <c r="T112" s="2">
        <f>ROUND(SUM(T106:T111),5)</f>
        <v>16651.63</v>
      </c>
      <c r="U112" s="3"/>
      <c r="V112" s="2">
        <f>ROUND(SUM(V106:V111),5)</f>
        <v>16347.01</v>
      </c>
      <c r="W112" s="3"/>
      <c r="X112" s="2">
        <f>ROUND(SUM(X106:X111),5)</f>
        <v>18514.07</v>
      </c>
      <c r="Y112" s="3"/>
      <c r="Z112" s="2">
        <f>ROUND(SUM(Z106:Z111),5)</f>
        <v>9684.64</v>
      </c>
      <c r="AA112" s="3"/>
      <c r="AB112" s="2">
        <f>ROUND(SUM(AB106:AB111),5)</f>
        <v>21818.63</v>
      </c>
      <c r="AC112" s="3"/>
      <c r="AD112" s="2">
        <f>ROUND(SUM(F112:AB112),5)</f>
        <v>229732.41</v>
      </c>
    </row>
    <row r="113" spans="1:30" x14ac:dyDescent="0.25">
      <c r="A113" s="1"/>
      <c r="B113" s="1"/>
      <c r="C113" s="1"/>
      <c r="D113" s="1" t="s">
        <v>124</v>
      </c>
      <c r="E113" s="1"/>
      <c r="F113" s="2">
        <v>-1049.43</v>
      </c>
      <c r="G113" s="3"/>
      <c r="H113" s="2">
        <v>-519.72</v>
      </c>
      <c r="I113" s="3"/>
      <c r="J113" s="2">
        <v>-383.63</v>
      </c>
      <c r="K113" s="3"/>
      <c r="L113" s="2">
        <v>-513.75</v>
      </c>
      <c r="M113" s="3"/>
      <c r="N113" s="2">
        <v>-736.54</v>
      </c>
      <c r="O113" s="3"/>
      <c r="P113" s="2">
        <v>-427.17</v>
      </c>
      <c r="Q113" s="3"/>
      <c r="R113" s="2">
        <v>-401.88</v>
      </c>
      <c r="S113" s="3"/>
      <c r="T113" s="2">
        <v>-391.38</v>
      </c>
      <c r="U113" s="3"/>
      <c r="V113" s="2">
        <v>-360.75</v>
      </c>
      <c r="W113" s="3"/>
      <c r="X113" s="2">
        <v>-523.41999999999996</v>
      </c>
      <c r="Y113" s="3"/>
      <c r="Z113" s="2">
        <v>-348.8</v>
      </c>
      <c r="AA113" s="3"/>
      <c r="AB113" s="2">
        <v>-327.42</v>
      </c>
      <c r="AC113" s="3"/>
      <c r="AD113" s="2">
        <f>ROUND(SUM(F113:AB113),5)</f>
        <v>-5983.89</v>
      </c>
    </row>
    <row r="114" spans="1:30" x14ac:dyDescent="0.25">
      <c r="A114" s="1"/>
      <c r="B114" s="1"/>
      <c r="C114" s="1"/>
      <c r="D114" s="1" t="s">
        <v>125</v>
      </c>
      <c r="E114" s="1"/>
      <c r="F114" s="2">
        <v>0</v>
      </c>
      <c r="G114" s="3"/>
      <c r="H114" s="2">
        <v>0</v>
      </c>
      <c r="I114" s="3"/>
      <c r="J114" s="2">
        <v>11566</v>
      </c>
      <c r="K114" s="3"/>
      <c r="L114" s="2">
        <v>0</v>
      </c>
      <c r="M114" s="3"/>
      <c r="N114" s="2">
        <v>0</v>
      </c>
      <c r="O114" s="3"/>
      <c r="P114" s="2">
        <v>34358</v>
      </c>
      <c r="Q114" s="3"/>
      <c r="R114" s="2">
        <v>0</v>
      </c>
      <c r="S114" s="3"/>
      <c r="T114" s="2">
        <v>0</v>
      </c>
      <c r="U114" s="3"/>
      <c r="V114" s="2">
        <v>0</v>
      </c>
      <c r="W114" s="3"/>
      <c r="X114" s="2">
        <v>0</v>
      </c>
      <c r="Y114" s="3"/>
      <c r="Z114" s="2">
        <v>11679</v>
      </c>
      <c r="AA114" s="3"/>
      <c r="AB114" s="2">
        <v>0</v>
      </c>
      <c r="AC114" s="3"/>
      <c r="AD114" s="2">
        <f>ROUND(SUM(F114:AB114),5)</f>
        <v>57603</v>
      </c>
    </row>
    <row r="115" spans="1:30" x14ac:dyDescent="0.25">
      <c r="A115" s="1"/>
      <c r="B115" s="1"/>
      <c r="C115" s="1"/>
      <c r="D115" s="1" t="s">
        <v>126</v>
      </c>
      <c r="E115" s="1"/>
      <c r="F115" s="2">
        <v>0</v>
      </c>
      <c r="G115" s="3"/>
      <c r="H115" s="2">
        <v>0</v>
      </c>
      <c r="I115" s="3"/>
      <c r="J115" s="2">
        <v>22000</v>
      </c>
      <c r="K115" s="3"/>
      <c r="L115" s="2">
        <v>0</v>
      </c>
      <c r="M115" s="3"/>
      <c r="N115" s="2">
        <v>0</v>
      </c>
      <c r="O115" s="3"/>
      <c r="P115" s="2">
        <v>9500</v>
      </c>
      <c r="Q115" s="3"/>
      <c r="R115" s="2">
        <v>2015.01</v>
      </c>
      <c r="S115" s="3"/>
      <c r="T115" s="2">
        <v>0</v>
      </c>
      <c r="U115" s="3"/>
      <c r="V115" s="2">
        <v>11643.05</v>
      </c>
      <c r="W115" s="3"/>
      <c r="X115" s="2">
        <v>47145.06</v>
      </c>
      <c r="Y115" s="3"/>
      <c r="Z115" s="2">
        <v>0</v>
      </c>
      <c r="AA115" s="3"/>
      <c r="AB115" s="2">
        <v>9500</v>
      </c>
      <c r="AC115" s="3"/>
      <c r="AD115" s="2">
        <f>ROUND(SUM(F115:AB115),5)</f>
        <v>101803.12</v>
      </c>
    </row>
    <row r="116" spans="1:30" x14ac:dyDescent="0.25">
      <c r="A116" s="1"/>
      <c r="B116" s="1"/>
      <c r="C116" s="1"/>
      <c r="D116" s="1" t="s">
        <v>127</v>
      </c>
      <c r="E116" s="1"/>
      <c r="F116" s="2">
        <v>0</v>
      </c>
      <c r="G116" s="3"/>
      <c r="H116" s="2">
        <v>0</v>
      </c>
      <c r="I116" s="3"/>
      <c r="J116" s="2">
        <v>750</v>
      </c>
      <c r="K116" s="3"/>
      <c r="L116" s="2">
        <v>0</v>
      </c>
      <c r="M116" s="3"/>
      <c r="N116" s="2">
        <v>0</v>
      </c>
      <c r="O116" s="3"/>
      <c r="P116" s="2">
        <v>0</v>
      </c>
      <c r="Q116" s="3"/>
      <c r="R116" s="2">
        <v>0</v>
      </c>
      <c r="S116" s="3"/>
      <c r="T116" s="2">
        <v>0</v>
      </c>
      <c r="U116" s="3"/>
      <c r="V116" s="2">
        <v>0</v>
      </c>
      <c r="W116" s="3"/>
      <c r="X116" s="2">
        <v>0</v>
      </c>
      <c r="Y116" s="3"/>
      <c r="Z116" s="2">
        <v>0</v>
      </c>
      <c r="AA116" s="3"/>
      <c r="AB116" s="2">
        <v>0</v>
      </c>
      <c r="AC116" s="3"/>
      <c r="AD116" s="2">
        <f>ROUND(SUM(F116:AB116),5)</f>
        <v>750</v>
      </c>
    </row>
    <row r="117" spans="1:30" x14ac:dyDescent="0.25">
      <c r="A117" s="1"/>
      <c r="B117" s="1"/>
      <c r="C117" s="1"/>
      <c r="D117" s="1" t="s">
        <v>128</v>
      </c>
      <c r="E117" s="1"/>
      <c r="F117" s="2">
        <v>0</v>
      </c>
      <c r="G117" s="3"/>
      <c r="H117" s="2">
        <v>0</v>
      </c>
      <c r="I117" s="3"/>
      <c r="J117" s="2">
        <v>16750</v>
      </c>
      <c r="K117" s="3"/>
      <c r="L117" s="2">
        <v>0</v>
      </c>
      <c r="M117" s="3"/>
      <c r="N117" s="2">
        <v>0</v>
      </c>
      <c r="O117" s="3"/>
      <c r="P117" s="2">
        <v>0</v>
      </c>
      <c r="Q117" s="3"/>
      <c r="R117" s="2">
        <v>0</v>
      </c>
      <c r="S117" s="3"/>
      <c r="T117" s="2">
        <v>0</v>
      </c>
      <c r="U117" s="3"/>
      <c r="V117" s="2">
        <v>0</v>
      </c>
      <c r="W117" s="3"/>
      <c r="X117" s="2">
        <v>0</v>
      </c>
      <c r="Y117" s="3"/>
      <c r="Z117" s="2">
        <v>0</v>
      </c>
      <c r="AA117" s="3"/>
      <c r="AB117" s="2">
        <v>0</v>
      </c>
      <c r="AC117" s="3"/>
      <c r="AD117" s="2">
        <f>ROUND(SUM(F117:AB117),5)</f>
        <v>16750</v>
      </c>
    </row>
    <row r="118" spans="1:30" x14ac:dyDescent="0.25">
      <c r="A118" s="1"/>
      <c r="B118" s="1"/>
      <c r="C118" s="1"/>
      <c r="D118" s="1" t="s">
        <v>129</v>
      </c>
      <c r="E118" s="1"/>
      <c r="F118" s="2">
        <v>0</v>
      </c>
      <c r="G118" s="3"/>
      <c r="H118" s="2">
        <v>0</v>
      </c>
      <c r="I118" s="3"/>
      <c r="J118" s="2">
        <v>2308.31</v>
      </c>
      <c r="K118" s="3"/>
      <c r="L118" s="2">
        <v>0</v>
      </c>
      <c r="M118" s="3"/>
      <c r="N118" s="2">
        <v>0</v>
      </c>
      <c r="O118" s="3"/>
      <c r="P118" s="2">
        <v>1730.6</v>
      </c>
      <c r="Q118" s="3"/>
      <c r="R118" s="2">
        <v>430.26</v>
      </c>
      <c r="S118" s="3"/>
      <c r="T118" s="2">
        <v>0</v>
      </c>
      <c r="U118" s="3"/>
      <c r="V118" s="2">
        <v>1879.07</v>
      </c>
      <c r="W118" s="3"/>
      <c r="X118" s="2">
        <v>0</v>
      </c>
      <c r="Y118" s="3"/>
      <c r="Z118" s="2">
        <v>0</v>
      </c>
      <c r="AA118" s="3"/>
      <c r="AB118" s="2">
        <v>2246</v>
      </c>
      <c r="AC118" s="3"/>
      <c r="AD118" s="2">
        <f>ROUND(SUM(F118:AB118),5)</f>
        <v>8594.24</v>
      </c>
    </row>
    <row r="119" spans="1:30" x14ac:dyDescent="0.25">
      <c r="A119" s="1"/>
      <c r="B119" s="1"/>
      <c r="C119" s="1"/>
      <c r="D119" s="1" t="s">
        <v>130</v>
      </c>
      <c r="E119" s="1"/>
      <c r="F119" s="2">
        <v>0</v>
      </c>
      <c r="G119" s="3"/>
      <c r="H119" s="2">
        <v>0</v>
      </c>
      <c r="I119" s="3"/>
      <c r="J119" s="2">
        <v>0</v>
      </c>
      <c r="K119" s="3"/>
      <c r="L119" s="2">
        <v>0</v>
      </c>
      <c r="M119" s="3"/>
      <c r="N119" s="2">
        <v>0</v>
      </c>
      <c r="O119" s="3"/>
      <c r="P119" s="2">
        <v>0</v>
      </c>
      <c r="Q119" s="3"/>
      <c r="R119" s="2">
        <v>0</v>
      </c>
      <c r="S119" s="3"/>
      <c r="T119" s="2">
        <v>0</v>
      </c>
      <c r="U119" s="3"/>
      <c r="V119" s="2">
        <v>0</v>
      </c>
      <c r="W119" s="3"/>
      <c r="X119" s="2">
        <v>250</v>
      </c>
      <c r="Y119" s="3"/>
      <c r="Z119" s="2">
        <v>250</v>
      </c>
      <c r="AA119" s="3"/>
      <c r="AB119" s="2">
        <v>250</v>
      </c>
      <c r="AC119" s="3"/>
      <c r="AD119" s="2">
        <f>ROUND(SUM(F119:AB119),5)</f>
        <v>750</v>
      </c>
    </row>
    <row r="120" spans="1:30" ht="15.75" thickBot="1" x14ac:dyDescent="0.3">
      <c r="A120" s="1"/>
      <c r="B120" s="1"/>
      <c r="C120" s="1"/>
      <c r="D120" s="1" t="s">
        <v>131</v>
      </c>
      <c r="E120" s="1"/>
      <c r="F120" s="5">
        <v>0</v>
      </c>
      <c r="G120" s="3"/>
      <c r="H120" s="5">
        <v>0</v>
      </c>
      <c r="I120" s="3"/>
      <c r="J120" s="5">
        <v>0</v>
      </c>
      <c r="K120" s="3"/>
      <c r="L120" s="5">
        <v>0</v>
      </c>
      <c r="M120" s="3"/>
      <c r="N120" s="5">
        <v>0</v>
      </c>
      <c r="O120" s="3"/>
      <c r="P120" s="5">
        <v>1440</v>
      </c>
      <c r="Q120" s="3"/>
      <c r="R120" s="5">
        <v>0</v>
      </c>
      <c r="S120" s="3"/>
      <c r="T120" s="5">
        <v>0</v>
      </c>
      <c r="U120" s="3"/>
      <c r="V120" s="5">
        <v>0</v>
      </c>
      <c r="W120" s="3"/>
      <c r="X120" s="5">
        <v>0</v>
      </c>
      <c r="Y120" s="3"/>
      <c r="Z120" s="5">
        <v>0</v>
      </c>
      <c r="AA120" s="3"/>
      <c r="AB120" s="5">
        <v>0</v>
      </c>
      <c r="AC120" s="3"/>
      <c r="AD120" s="5">
        <f>ROUND(SUM(F120:AB120),5)</f>
        <v>1440</v>
      </c>
    </row>
    <row r="121" spans="1:30" ht="15.75" thickBot="1" x14ac:dyDescent="0.3">
      <c r="A121" s="1"/>
      <c r="B121" s="1"/>
      <c r="C121" s="1" t="s">
        <v>132</v>
      </c>
      <c r="D121" s="1"/>
      <c r="E121" s="1"/>
      <c r="F121" s="6">
        <f>ROUND(SUM(F8:F11)+F17+F24+SUM(F30:F35)+SUM(F39:F48)+SUM(F53:F70)+SUM(F77:F87)+F93+F97+F105+SUM(F112:F120),5)</f>
        <v>874529.36</v>
      </c>
      <c r="G121" s="3"/>
      <c r="H121" s="6">
        <f>ROUND(SUM(H8:H11)+H17+H24+SUM(H30:H35)+SUM(H39:H48)+SUM(H53:H70)+SUM(H77:H87)+H93+H97+H105+SUM(H112:H120),5)</f>
        <v>898764.46</v>
      </c>
      <c r="I121" s="3"/>
      <c r="J121" s="6">
        <f>ROUND(SUM(J8:J11)+J17+J24+SUM(J30:J35)+SUM(J39:J48)+SUM(J53:J70)+SUM(J77:J87)+J93+J97+J105+SUM(J112:J120),5)</f>
        <v>897038.89</v>
      </c>
      <c r="K121" s="3"/>
      <c r="L121" s="6">
        <f>ROUND(SUM(L8:L11)+L17+L24+SUM(L30:L35)+SUM(L39:L48)+SUM(L53:L70)+SUM(L77:L87)+L93+L97+L105+SUM(L112:L120),5)</f>
        <v>947413.62</v>
      </c>
      <c r="M121" s="3"/>
      <c r="N121" s="6">
        <f>ROUND(SUM(N8:N11)+N17+N24+SUM(N30:N35)+SUM(N39:N48)+SUM(N53:N70)+SUM(N77:N87)+N93+N97+N105+SUM(N112:N120),5)</f>
        <v>1029371.66</v>
      </c>
      <c r="O121" s="3"/>
      <c r="P121" s="6">
        <f>ROUND(SUM(P8:P11)+P17+P24+SUM(P30:P35)+SUM(P39:P48)+SUM(P53:P70)+SUM(P77:P87)+P93+P97+P105+SUM(P112:P120),5)</f>
        <v>1092239.5900000001</v>
      </c>
      <c r="Q121" s="3"/>
      <c r="R121" s="6">
        <f>ROUND(SUM(R8:R11)+R17+R24+SUM(R30:R35)+SUM(R39:R48)+SUM(R53:R70)+SUM(R77:R87)+R93+R97+R105+SUM(R112:R120),5)</f>
        <v>1080637.79</v>
      </c>
      <c r="S121" s="3"/>
      <c r="T121" s="6">
        <f>ROUND(SUM(T8:T11)+T17+T24+SUM(T30:T35)+SUM(T39:T48)+SUM(T53:T70)+SUM(T77:T87)+T93+T97+T105+SUM(T112:T120),5)</f>
        <v>904171.43</v>
      </c>
      <c r="U121" s="3"/>
      <c r="V121" s="6">
        <f>ROUND(SUM(V8:V11)+V17+V24+SUM(V30:V35)+SUM(V39:V48)+SUM(V53:V70)+SUM(V77:V87)+V93+V97+V105+SUM(V112:V120),5)</f>
        <v>1265352.42</v>
      </c>
      <c r="W121" s="3"/>
      <c r="X121" s="6">
        <f>ROUND(SUM(X8:X11)+X17+X24+SUM(X30:X35)+SUM(X39:X48)+SUM(X53:X70)+SUM(X77:X87)+X93+X97+X105+SUM(X112:X120),5)</f>
        <v>1232037.8400000001</v>
      </c>
      <c r="Y121" s="3"/>
      <c r="Z121" s="6">
        <f>ROUND(SUM(Z8:Z11)+Z17+Z24+SUM(Z30:Z35)+SUM(Z39:Z48)+SUM(Z53:Z70)+SUM(Z77:Z87)+Z93+Z97+Z105+SUM(Z112:Z120),5)</f>
        <v>1104289.8799999999</v>
      </c>
      <c r="AA121" s="3"/>
      <c r="AB121" s="6">
        <f>ROUND(SUM(AB8:AB11)+AB17+AB24+SUM(AB30:AB35)+SUM(AB39:AB48)+SUM(AB53:AB70)+SUM(AB77:AB87)+AB93+AB97+AB105+SUM(AB112:AB120),5)</f>
        <v>998452.85</v>
      </c>
      <c r="AC121" s="3"/>
      <c r="AD121" s="6">
        <f>ROUND(SUM(F121:AB121),5)</f>
        <v>12324299.789999999</v>
      </c>
    </row>
    <row r="122" spans="1:30" x14ac:dyDescent="0.25">
      <c r="A122" s="1"/>
      <c r="B122" s="1" t="s">
        <v>133</v>
      </c>
      <c r="C122" s="1"/>
      <c r="D122" s="1"/>
      <c r="E122" s="1"/>
      <c r="F122" s="2">
        <f>ROUND(F2+F7-F121,5)</f>
        <v>179590.21</v>
      </c>
      <c r="G122" s="3"/>
      <c r="H122" s="2">
        <f>ROUND(H2+H7-H121,5)</f>
        <v>163254.89000000001</v>
      </c>
      <c r="I122" s="3"/>
      <c r="J122" s="2">
        <f>ROUND(J2+J7-J121,5)</f>
        <v>104342.38</v>
      </c>
      <c r="K122" s="3"/>
      <c r="L122" s="2">
        <f>ROUND(L2+L7-L121,5)</f>
        <v>257893</v>
      </c>
      <c r="M122" s="3"/>
      <c r="N122" s="2">
        <f>ROUND(N2+N7-N121,5)</f>
        <v>273189.63</v>
      </c>
      <c r="O122" s="3"/>
      <c r="P122" s="2">
        <f>ROUND(P2+P7-P121,5)</f>
        <v>51567.09</v>
      </c>
      <c r="Q122" s="3"/>
      <c r="R122" s="2">
        <f>ROUND(R2+R7-R121,5)</f>
        <v>-59381.7</v>
      </c>
      <c r="S122" s="3"/>
      <c r="T122" s="2">
        <f>ROUND(T2+T7-T121,5)</f>
        <v>411518</v>
      </c>
      <c r="U122" s="3"/>
      <c r="V122" s="2">
        <f>ROUND(V2+V7-V121,5)</f>
        <v>81995.91</v>
      </c>
      <c r="W122" s="3"/>
      <c r="X122" s="2">
        <f>ROUND(X2+X7-X121,5)</f>
        <v>-55979.79</v>
      </c>
      <c r="Y122" s="3"/>
      <c r="Z122" s="2">
        <f>ROUND(Z2+Z7-Z121,5)</f>
        <v>-106278.76</v>
      </c>
      <c r="AA122" s="3"/>
      <c r="AB122" s="2">
        <f>ROUND(AB2+AB7-AB121,5)</f>
        <v>105544.98</v>
      </c>
      <c r="AC122" s="3"/>
      <c r="AD122" s="2">
        <f>ROUND(SUM(F122:AB122),5)</f>
        <v>1407255.84</v>
      </c>
    </row>
    <row r="123" spans="1:30" x14ac:dyDescent="0.25">
      <c r="A123" s="1"/>
      <c r="B123" s="1" t="s">
        <v>134</v>
      </c>
      <c r="C123" s="1"/>
      <c r="D123" s="1"/>
      <c r="E123" s="1"/>
      <c r="F123" s="2"/>
      <c r="G123" s="3"/>
      <c r="H123" s="2"/>
      <c r="I123" s="3"/>
      <c r="J123" s="2"/>
      <c r="K123" s="3"/>
      <c r="L123" s="2"/>
      <c r="M123" s="3"/>
      <c r="N123" s="2"/>
      <c r="O123" s="3"/>
      <c r="P123" s="2"/>
      <c r="Q123" s="3"/>
      <c r="R123" s="2"/>
      <c r="S123" s="3"/>
      <c r="T123" s="2"/>
      <c r="U123" s="3"/>
      <c r="V123" s="2"/>
      <c r="W123" s="3"/>
      <c r="X123" s="2"/>
      <c r="Y123" s="3"/>
      <c r="Z123" s="2"/>
      <c r="AA123" s="3"/>
      <c r="AB123" s="2"/>
      <c r="AC123" s="3"/>
      <c r="AD123" s="2"/>
    </row>
    <row r="124" spans="1:30" x14ac:dyDescent="0.25">
      <c r="A124" s="1"/>
      <c r="B124" s="1"/>
      <c r="C124" s="1" t="s">
        <v>135</v>
      </c>
      <c r="D124" s="1"/>
      <c r="E124" s="1"/>
      <c r="F124" s="2"/>
      <c r="G124" s="3"/>
      <c r="H124" s="2"/>
      <c r="I124" s="3"/>
      <c r="J124" s="2"/>
      <c r="K124" s="3"/>
      <c r="L124" s="2"/>
      <c r="M124" s="3"/>
      <c r="N124" s="2"/>
      <c r="O124" s="3"/>
      <c r="P124" s="2"/>
      <c r="Q124" s="3"/>
      <c r="R124" s="2"/>
      <c r="S124" s="3"/>
      <c r="T124" s="2"/>
      <c r="U124" s="3"/>
      <c r="V124" s="2"/>
      <c r="W124" s="3"/>
      <c r="X124" s="2"/>
      <c r="Y124" s="3"/>
      <c r="Z124" s="2"/>
      <c r="AA124" s="3"/>
      <c r="AB124" s="2"/>
      <c r="AC124" s="3"/>
      <c r="AD124" s="2"/>
    </row>
    <row r="125" spans="1:30" x14ac:dyDescent="0.25">
      <c r="A125" s="1"/>
      <c r="B125" s="1"/>
      <c r="C125" s="1"/>
      <c r="D125" s="1" t="s">
        <v>136</v>
      </c>
      <c r="E125" s="1"/>
      <c r="F125" s="2"/>
      <c r="G125" s="3"/>
      <c r="H125" s="2"/>
      <c r="I125" s="3"/>
      <c r="J125" s="2"/>
      <c r="K125" s="3"/>
      <c r="L125" s="2"/>
      <c r="M125" s="3"/>
      <c r="N125" s="2"/>
      <c r="O125" s="3"/>
      <c r="P125" s="2"/>
      <c r="Q125" s="3"/>
      <c r="R125" s="2"/>
      <c r="S125" s="3"/>
      <c r="T125" s="2"/>
      <c r="U125" s="3"/>
      <c r="V125" s="2"/>
      <c r="W125" s="3"/>
      <c r="X125" s="2"/>
      <c r="Y125" s="3"/>
      <c r="Z125" s="2"/>
      <c r="AA125" s="3"/>
      <c r="AB125" s="2"/>
      <c r="AC125" s="3"/>
      <c r="AD125" s="2"/>
    </row>
    <row r="126" spans="1:30" x14ac:dyDescent="0.25">
      <c r="A126" s="1"/>
      <c r="B126" s="1"/>
      <c r="C126" s="1"/>
      <c r="D126" s="1"/>
      <c r="E126" s="1" t="s">
        <v>137</v>
      </c>
      <c r="F126" s="2">
        <v>0</v>
      </c>
      <c r="G126" s="3"/>
      <c r="H126" s="2">
        <v>0</v>
      </c>
      <c r="I126" s="3"/>
      <c r="J126" s="2">
        <v>0</v>
      </c>
      <c r="K126" s="3"/>
      <c r="L126" s="2">
        <v>0</v>
      </c>
      <c r="M126" s="3"/>
      <c r="N126" s="2">
        <v>0</v>
      </c>
      <c r="O126" s="3"/>
      <c r="P126" s="2">
        <v>0</v>
      </c>
      <c r="Q126" s="3"/>
      <c r="R126" s="2">
        <v>40</v>
      </c>
      <c r="S126" s="3"/>
      <c r="T126" s="2">
        <v>59028.01</v>
      </c>
      <c r="U126" s="3"/>
      <c r="V126" s="2">
        <v>120</v>
      </c>
      <c r="W126" s="3"/>
      <c r="X126" s="2">
        <v>1740</v>
      </c>
      <c r="Y126" s="3"/>
      <c r="Z126" s="2">
        <v>140</v>
      </c>
      <c r="AA126" s="3"/>
      <c r="AB126" s="2">
        <v>0</v>
      </c>
      <c r="AC126" s="3"/>
      <c r="AD126" s="2">
        <f>ROUND(SUM(F126:AB126),5)</f>
        <v>61068.01</v>
      </c>
    </row>
    <row r="127" spans="1:30" ht="15.75" thickBot="1" x14ac:dyDescent="0.3">
      <c r="A127" s="1"/>
      <c r="B127" s="1"/>
      <c r="C127" s="1"/>
      <c r="D127" s="1"/>
      <c r="E127" s="1" t="s">
        <v>138</v>
      </c>
      <c r="F127" s="4">
        <v>0</v>
      </c>
      <c r="G127" s="3"/>
      <c r="H127" s="4">
        <v>0</v>
      </c>
      <c r="I127" s="3"/>
      <c r="J127" s="4">
        <v>0</v>
      </c>
      <c r="K127" s="3"/>
      <c r="L127" s="4">
        <v>0</v>
      </c>
      <c r="M127" s="3"/>
      <c r="N127" s="4">
        <v>0</v>
      </c>
      <c r="O127" s="3"/>
      <c r="P127" s="4">
        <v>0</v>
      </c>
      <c r="Q127" s="3"/>
      <c r="R127" s="4">
        <v>0</v>
      </c>
      <c r="S127" s="3"/>
      <c r="T127" s="4">
        <v>0</v>
      </c>
      <c r="U127" s="3"/>
      <c r="V127" s="4">
        <v>0</v>
      </c>
      <c r="W127" s="3"/>
      <c r="X127" s="4">
        <v>0</v>
      </c>
      <c r="Y127" s="3"/>
      <c r="Z127" s="4">
        <v>130</v>
      </c>
      <c r="AA127" s="3"/>
      <c r="AB127" s="4">
        <v>0</v>
      </c>
      <c r="AC127" s="3"/>
      <c r="AD127" s="4">
        <f>ROUND(SUM(F127:AB127),5)</f>
        <v>130</v>
      </c>
    </row>
    <row r="128" spans="1:30" x14ac:dyDescent="0.25">
      <c r="A128" s="1"/>
      <c r="B128" s="1"/>
      <c r="C128" s="1"/>
      <c r="D128" s="1" t="s">
        <v>139</v>
      </c>
      <c r="E128" s="1"/>
      <c r="F128" s="2">
        <f>ROUND(SUM(F125:F127),5)</f>
        <v>0</v>
      </c>
      <c r="G128" s="3"/>
      <c r="H128" s="2">
        <f>ROUND(SUM(H125:H127),5)</f>
        <v>0</v>
      </c>
      <c r="I128" s="3"/>
      <c r="J128" s="2">
        <f>ROUND(SUM(J125:J127),5)</f>
        <v>0</v>
      </c>
      <c r="K128" s="3"/>
      <c r="L128" s="2">
        <f>ROUND(SUM(L125:L127),5)</f>
        <v>0</v>
      </c>
      <c r="M128" s="3"/>
      <c r="N128" s="2">
        <f>ROUND(SUM(N125:N127),5)</f>
        <v>0</v>
      </c>
      <c r="O128" s="3"/>
      <c r="P128" s="2">
        <f>ROUND(SUM(P125:P127),5)</f>
        <v>0</v>
      </c>
      <c r="Q128" s="3"/>
      <c r="R128" s="2">
        <f>ROUND(SUM(R125:R127),5)</f>
        <v>40</v>
      </c>
      <c r="S128" s="3"/>
      <c r="T128" s="2">
        <f>ROUND(SUM(T125:T127),5)</f>
        <v>59028.01</v>
      </c>
      <c r="U128" s="3"/>
      <c r="V128" s="2">
        <f>ROUND(SUM(V125:V127),5)</f>
        <v>120</v>
      </c>
      <c r="W128" s="3"/>
      <c r="X128" s="2">
        <f>ROUND(SUM(X125:X127),5)</f>
        <v>1740</v>
      </c>
      <c r="Y128" s="3"/>
      <c r="Z128" s="2">
        <f>ROUND(SUM(Z125:Z127),5)</f>
        <v>270</v>
      </c>
      <c r="AA128" s="3"/>
      <c r="AB128" s="2">
        <f>ROUND(SUM(AB125:AB127),5)</f>
        <v>0</v>
      </c>
      <c r="AC128" s="3"/>
      <c r="AD128" s="2">
        <f>ROUND(SUM(F128:AB128),5)</f>
        <v>61198.01</v>
      </c>
    </row>
    <row r="129" spans="1:30" ht="15.75" thickBot="1" x14ac:dyDescent="0.3">
      <c r="A129" s="1"/>
      <c r="B129" s="1"/>
      <c r="C129" s="1"/>
      <c r="D129" s="1" t="s">
        <v>140</v>
      </c>
      <c r="E129" s="1"/>
      <c r="F129" s="4">
        <v>701.97</v>
      </c>
      <c r="G129" s="3"/>
      <c r="H129" s="4">
        <v>164.69</v>
      </c>
      <c r="I129" s="3"/>
      <c r="J129" s="4">
        <v>668.66</v>
      </c>
      <c r="K129" s="3"/>
      <c r="L129" s="4">
        <v>680.45</v>
      </c>
      <c r="M129" s="3"/>
      <c r="N129" s="4">
        <v>566.61</v>
      </c>
      <c r="O129" s="3"/>
      <c r="P129" s="4">
        <v>596.42999999999995</v>
      </c>
      <c r="Q129" s="3"/>
      <c r="R129" s="4">
        <v>668.93</v>
      </c>
      <c r="S129" s="3"/>
      <c r="T129" s="4">
        <v>0</v>
      </c>
      <c r="U129" s="3"/>
      <c r="V129" s="4">
        <v>0</v>
      </c>
      <c r="W129" s="3"/>
      <c r="X129" s="4">
        <v>836.99</v>
      </c>
      <c r="Y129" s="3"/>
      <c r="Z129" s="4">
        <v>0</v>
      </c>
      <c r="AA129" s="3"/>
      <c r="AB129" s="4">
        <v>0</v>
      </c>
      <c r="AC129" s="3"/>
      <c r="AD129" s="4">
        <f>ROUND(SUM(F129:AB129),5)</f>
        <v>4884.7299999999996</v>
      </c>
    </row>
    <row r="130" spans="1:30" x14ac:dyDescent="0.25">
      <c r="A130" s="1"/>
      <c r="B130" s="1"/>
      <c r="C130" s="1" t="s">
        <v>141</v>
      </c>
      <c r="D130" s="1"/>
      <c r="E130" s="1"/>
      <c r="F130" s="2">
        <f>ROUND(F124+SUM(F128:F129),5)</f>
        <v>701.97</v>
      </c>
      <c r="G130" s="3"/>
      <c r="H130" s="2">
        <f>ROUND(H124+SUM(H128:H129),5)</f>
        <v>164.69</v>
      </c>
      <c r="I130" s="3"/>
      <c r="J130" s="2">
        <f>ROUND(J124+SUM(J128:J129),5)</f>
        <v>668.66</v>
      </c>
      <c r="K130" s="3"/>
      <c r="L130" s="2">
        <f>ROUND(L124+SUM(L128:L129),5)</f>
        <v>680.45</v>
      </c>
      <c r="M130" s="3"/>
      <c r="N130" s="2">
        <f>ROUND(N124+SUM(N128:N129),5)</f>
        <v>566.61</v>
      </c>
      <c r="O130" s="3"/>
      <c r="P130" s="2">
        <f>ROUND(P124+SUM(P128:P129),5)</f>
        <v>596.42999999999995</v>
      </c>
      <c r="Q130" s="3"/>
      <c r="R130" s="2">
        <f>ROUND(R124+SUM(R128:R129),5)</f>
        <v>708.93</v>
      </c>
      <c r="S130" s="3"/>
      <c r="T130" s="2">
        <f>ROUND(T124+SUM(T128:T129),5)</f>
        <v>59028.01</v>
      </c>
      <c r="U130" s="3"/>
      <c r="V130" s="2">
        <f>ROUND(V124+SUM(V128:V129),5)</f>
        <v>120</v>
      </c>
      <c r="W130" s="3"/>
      <c r="X130" s="2">
        <f>ROUND(X124+SUM(X128:X129),5)</f>
        <v>2576.9899999999998</v>
      </c>
      <c r="Y130" s="3"/>
      <c r="Z130" s="2">
        <f>ROUND(Z124+SUM(Z128:Z129),5)</f>
        <v>270</v>
      </c>
      <c r="AA130" s="3"/>
      <c r="AB130" s="2">
        <f>ROUND(AB124+SUM(AB128:AB129),5)</f>
        <v>0</v>
      </c>
      <c r="AC130" s="3"/>
      <c r="AD130" s="2">
        <f>ROUND(SUM(F130:AB130),5)</f>
        <v>66082.740000000005</v>
      </c>
    </row>
    <row r="131" spans="1:30" x14ac:dyDescent="0.25">
      <c r="A131" s="1"/>
      <c r="B131" s="1"/>
      <c r="C131" s="1" t="s">
        <v>142</v>
      </c>
      <c r="D131" s="1"/>
      <c r="E131" s="1"/>
      <c r="F131" s="2"/>
      <c r="G131" s="3"/>
      <c r="H131" s="2"/>
      <c r="I131" s="3"/>
      <c r="J131" s="2"/>
      <c r="K131" s="3"/>
      <c r="L131" s="2"/>
      <c r="M131" s="3"/>
      <c r="N131" s="2"/>
      <c r="O131" s="3"/>
      <c r="P131" s="2"/>
      <c r="Q131" s="3"/>
      <c r="R131" s="2"/>
      <c r="S131" s="3"/>
      <c r="T131" s="2"/>
      <c r="U131" s="3"/>
      <c r="V131" s="2"/>
      <c r="W131" s="3"/>
      <c r="X131" s="2"/>
      <c r="Y131" s="3"/>
      <c r="Z131" s="2"/>
      <c r="AA131" s="3"/>
      <c r="AB131" s="2"/>
      <c r="AC131" s="3"/>
      <c r="AD131" s="2"/>
    </row>
    <row r="132" spans="1:30" x14ac:dyDescent="0.25">
      <c r="A132" s="1"/>
      <c r="B132" s="1"/>
      <c r="C132" s="1"/>
      <c r="D132" s="1" t="s">
        <v>143</v>
      </c>
      <c r="E132" s="1"/>
      <c r="F132" s="2"/>
      <c r="G132" s="3"/>
      <c r="H132" s="2"/>
      <c r="I132" s="3"/>
      <c r="J132" s="2"/>
      <c r="K132" s="3"/>
      <c r="L132" s="2"/>
      <c r="M132" s="3"/>
      <c r="N132" s="2"/>
      <c r="O132" s="3"/>
      <c r="P132" s="2"/>
      <c r="Q132" s="3"/>
      <c r="R132" s="2"/>
      <c r="S132" s="3"/>
      <c r="T132" s="2"/>
      <c r="U132" s="3"/>
      <c r="V132" s="2"/>
      <c r="W132" s="3"/>
      <c r="X132" s="2"/>
      <c r="Y132" s="3"/>
      <c r="Z132" s="2"/>
      <c r="AA132" s="3"/>
      <c r="AB132" s="2"/>
      <c r="AC132" s="3"/>
      <c r="AD132" s="2"/>
    </row>
    <row r="133" spans="1:30" ht="15.75" thickBot="1" x14ac:dyDescent="0.3">
      <c r="A133" s="1"/>
      <c r="B133" s="1"/>
      <c r="C133" s="1"/>
      <c r="D133" s="1"/>
      <c r="E133" s="1" t="s">
        <v>144</v>
      </c>
      <c r="F133" s="4">
        <v>4452.78</v>
      </c>
      <c r="G133" s="3"/>
      <c r="H133" s="4">
        <v>4452.78</v>
      </c>
      <c r="I133" s="3"/>
      <c r="J133" s="4">
        <v>4452.78</v>
      </c>
      <c r="K133" s="3"/>
      <c r="L133" s="4">
        <v>4452.78</v>
      </c>
      <c r="M133" s="3"/>
      <c r="N133" s="4">
        <v>6372.59</v>
      </c>
      <c r="O133" s="3"/>
      <c r="P133" s="4">
        <v>6372.59</v>
      </c>
      <c r="Q133" s="3"/>
      <c r="R133" s="4">
        <v>6372.59</v>
      </c>
      <c r="S133" s="3"/>
      <c r="T133" s="4">
        <v>6372.59</v>
      </c>
      <c r="U133" s="3"/>
      <c r="V133" s="4">
        <v>6372.59</v>
      </c>
      <c r="W133" s="3"/>
      <c r="X133" s="4">
        <v>10024.459999999999</v>
      </c>
      <c r="Y133" s="3"/>
      <c r="Z133" s="4">
        <v>9047.31</v>
      </c>
      <c r="AA133" s="3"/>
      <c r="AB133" s="4">
        <v>7581.58</v>
      </c>
      <c r="AC133" s="3"/>
      <c r="AD133" s="4">
        <f>ROUND(SUM(F133:AB133),5)</f>
        <v>76327.42</v>
      </c>
    </row>
    <row r="134" spans="1:30" x14ac:dyDescent="0.25">
      <c r="A134" s="1"/>
      <c r="B134" s="1"/>
      <c r="C134" s="1"/>
      <c r="D134" s="1" t="s">
        <v>145</v>
      </c>
      <c r="E134" s="1"/>
      <c r="F134" s="2">
        <f>ROUND(SUM(F132:F133),5)</f>
        <v>4452.78</v>
      </c>
      <c r="G134" s="3"/>
      <c r="H134" s="2">
        <f>ROUND(SUM(H132:H133),5)</f>
        <v>4452.78</v>
      </c>
      <c r="I134" s="3"/>
      <c r="J134" s="2">
        <f>ROUND(SUM(J132:J133),5)</f>
        <v>4452.78</v>
      </c>
      <c r="K134" s="3"/>
      <c r="L134" s="2">
        <f>ROUND(SUM(L132:L133),5)</f>
        <v>4452.78</v>
      </c>
      <c r="M134" s="3"/>
      <c r="N134" s="2">
        <f>ROUND(SUM(N132:N133),5)</f>
        <v>6372.59</v>
      </c>
      <c r="O134" s="3"/>
      <c r="P134" s="2">
        <f>ROUND(SUM(P132:P133),5)</f>
        <v>6372.59</v>
      </c>
      <c r="Q134" s="3"/>
      <c r="R134" s="2">
        <f>ROUND(SUM(R132:R133),5)</f>
        <v>6372.59</v>
      </c>
      <c r="S134" s="3"/>
      <c r="T134" s="2">
        <f>ROUND(SUM(T132:T133),5)</f>
        <v>6372.59</v>
      </c>
      <c r="U134" s="3"/>
      <c r="V134" s="2">
        <f>ROUND(SUM(V132:V133),5)</f>
        <v>6372.59</v>
      </c>
      <c r="W134" s="3"/>
      <c r="X134" s="2">
        <f>ROUND(SUM(X132:X133),5)</f>
        <v>10024.459999999999</v>
      </c>
      <c r="Y134" s="3"/>
      <c r="Z134" s="2">
        <f>ROUND(SUM(Z132:Z133),5)</f>
        <v>9047.31</v>
      </c>
      <c r="AA134" s="3"/>
      <c r="AB134" s="2">
        <f>ROUND(SUM(AB132:AB133),5)</f>
        <v>7581.58</v>
      </c>
      <c r="AC134" s="3"/>
      <c r="AD134" s="2">
        <f>ROUND(SUM(F134:AB134),5)</f>
        <v>76327.42</v>
      </c>
    </row>
    <row r="135" spans="1:30" x14ac:dyDescent="0.25">
      <c r="A135" s="1"/>
      <c r="B135" s="1"/>
      <c r="C135" s="1"/>
      <c r="D135" s="1" t="s">
        <v>146</v>
      </c>
      <c r="E135" s="1"/>
      <c r="F135" s="2">
        <v>0</v>
      </c>
      <c r="G135" s="3"/>
      <c r="H135" s="2">
        <v>1626.22</v>
      </c>
      <c r="I135" s="3"/>
      <c r="J135" s="2">
        <v>1303.3499999999999</v>
      </c>
      <c r="K135" s="3"/>
      <c r="L135" s="2">
        <v>1863.35</v>
      </c>
      <c r="M135" s="3"/>
      <c r="N135" s="2">
        <v>0</v>
      </c>
      <c r="O135" s="3"/>
      <c r="P135" s="2">
        <v>0</v>
      </c>
      <c r="Q135" s="3"/>
      <c r="R135" s="2">
        <v>298.63</v>
      </c>
      <c r="S135" s="3"/>
      <c r="T135" s="2">
        <v>20</v>
      </c>
      <c r="U135" s="3"/>
      <c r="V135" s="2">
        <v>40</v>
      </c>
      <c r="W135" s="3"/>
      <c r="X135" s="2">
        <v>2637.1</v>
      </c>
      <c r="Y135" s="3"/>
      <c r="Z135" s="2">
        <v>40</v>
      </c>
      <c r="AA135" s="3"/>
      <c r="AB135" s="2">
        <v>0</v>
      </c>
      <c r="AC135" s="3"/>
      <c r="AD135" s="2">
        <f>ROUND(SUM(F135:AB135),5)</f>
        <v>7828.65</v>
      </c>
    </row>
    <row r="136" spans="1:30" x14ac:dyDescent="0.25">
      <c r="A136" s="1"/>
      <c r="B136" s="1"/>
      <c r="C136" s="1"/>
      <c r="D136" s="1" t="s">
        <v>147</v>
      </c>
      <c r="E136" s="1"/>
      <c r="F136" s="2">
        <v>0</v>
      </c>
      <c r="G136" s="3"/>
      <c r="H136" s="2">
        <v>0</v>
      </c>
      <c r="I136" s="3"/>
      <c r="J136" s="2">
        <v>0</v>
      </c>
      <c r="K136" s="3"/>
      <c r="L136" s="2">
        <v>0</v>
      </c>
      <c r="M136" s="3"/>
      <c r="N136" s="2">
        <v>0</v>
      </c>
      <c r="O136" s="3"/>
      <c r="P136" s="2">
        <v>0</v>
      </c>
      <c r="Q136" s="3"/>
      <c r="R136" s="2">
        <v>0</v>
      </c>
      <c r="S136" s="3"/>
      <c r="T136" s="2">
        <v>69.95</v>
      </c>
      <c r="U136" s="3"/>
      <c r="V136" s="2">
        <v>0</v>
      </c>
      <c r="W136" s="3"/>
      <c r="X136" s="2">
        <v>435</v>
      </c>
      <c r="Y136" s="3"/>
      <c r="Z136" s="2">
        <v>688</v>
      </c>
      <c r="AA136" s="3"/>
      <c r="AB136" s="2">
        <v>13104.29</v>
      </c>
      <c r="AC136" s="3"/>
      <c r="AD136" s="2">
        <f>ROUND(SUM(F136:AB136),5)</f>
        <v>14297.24</v>
      </c>
    </row>
    <row r="137" spans="1:30" ht="15.75" thickBot="1" x14ac:dyDescent="0.3">
      <c r="A137" s="1"/>
      <c r="B137" s="1"/>
      <c r="C137" s="1"/>
      <c r="D137" s="1" t="s">
        <v>148</v>
      </c>
      <c r="E137" s="1"/>
      <c r="F137" s="5">
        <v>0</v>
      </c>
      <c r="G137" s="3"/>
      <c r="H137" s="5">
        <v>0</v>
      </c>
      <c r="I137" s="3"/>
      <c r="J137" s="5">
        <v>0</v>
      </c>
      <c r="K137" s="3"/>
      <c r="L137" s="5">
        <v>0</v>
      </c>
      <c r="M137" s="3"/>
      <c r="N137" s="5">
        <v>0</v>
      </c>
      <c r="O137" s="3"/>
      <c r="P137" s="5">
        <v>479.11</v>
      </c>
      <c r="Q137" s="3"/>
      <c r="R137" s="5">
        <v>0</v>
      </c>
      <c r="S137" s="3"/>
      <c r="T137" s="5">
        <v>0</v>
      </c>
      <c r="U137" s="3"/>
      <c r="V137" s="5">
        <v>709.9</v>
      </c>
      <c r="W137" s="3"/>
      <c r="X137" s="5">
        <v>0</v>
      </c>
      <c r="Y137" s="3"/>
      <c r="Z137" s="5">
        <v>-12000</v>
      </c>
      <c r="AA137" s="3"/>
      <c r="AB137" s="5">
        <v>0</v>
      </c>
      <c r="AC137" s="3"/>
      <c r="AD137" s="5">
        <f>ROUND(SUM(F137:AB137),5)</f>
        <v>-10810.99</v>
      </c>
    </row>
    <row r="138" spans="1:30" ht="15.75" thickBot="1" x14ac:dyDescent="0.3">
      <c r="A138" s="1"/>
      <c r="B138" s="1"/>
      <c r="C138" s="1" t="s">
        <v>149</v>
      </c>
      <c r="D138" s="1"/>
      <c r="E138" s="1"/>
      <c r="F138" s="7">
        <f>ROUND(F131+SUM(F134:F137),5)</f>
        <v>4452.78</v>
      </c>
      <c r="G138" s="3"/>
      <c r="H138" s="7">
        <f>ROUND(H131+SUM(H134:H137),5)</f>
        <v>6079</v>
      </c>
      <c r="I138" s="3"/>
      <c r="J138" s="7">
        <f>ROUND(J131+SUM(J134:J137),5)</f>
        <v>5756.13</v>
      </c>
      <c r="K138" s="3"/>
      <c r="L138" s="7">
        <f>ROUND(L131+SUM(L134:L137),5)</f>
        <v>6316.13</v>
      </c>
      <c r="M138" s="3"/>
      <c r="N138" s="7">
        <f>ROUND(N131+SUM(N134:N137),5)</f>
        <v>6372.59</v>
      </c>
      <c r="O138" s="3"/>
      <c r="P138" s="7">
        <f>ROUND(P131+SUM(P134:P137),5)</f>
        <v>6851.7</v>
      </c>
      <c r="Q138" s="3"/>
      <c r="R138" s="7">
        <f>ROUND(R131+SUM(R134:R137),5)</f>
        <v>6671.22</v>
      </c>
      <c r="S138" s="3"/>
      <c r="T138" s="7">
        <f>ROUND(T131+SUM(T134:T137),5)</f>
        <v>6462.54</v>
      </c>
      <c r="U138" s="3"/>
      <c r="V138" s="7">
        <f>ROUND(V131+SUM(V134:V137),5)</f>
        <v>7122.49</v>
      </c>
      <c r="W138" s="3"/>
      <c r="X138" s="7">
        <f>ROUND(X131+SUM(X134:X137),5)</f>
        <v>13096.56</v>
      </c>
      <c r="Y138" s="3"/>
      <c r="Z138" s="7">
        <f>ROUND(Z131+SUM(Z134:Z137),5)</f>
        <v>-2224.69</v>
      </c>
      <c r="AA138" s="3"/>
      <c r="AB138" s="7">
        <f>ROUND(AB131+SUM(AB134:AB137),5)</f>
        <v>20685.87</v>
      </c>
      <c r="AC138" s="3"/>
      <c r="AD138" s="7">
        <f>ROUND(SUM(F138:AB138),5)</f>
        <v>87642.32</v>
      </c>
    </row>
    <row r="139" spans="1:30" ht="15.75" thickBot="1" x14ac:dyDescent="0.3">
      <c r="A139" s="1"/>
      <c r="B139" s="1" t="s">
        <v>150</v>
      </c>
      <c r="C139" s="1"/>
      <c r="D139" s="1"/>
      <c r="E139" s="1"/>
      <c r="F139" s="7">
        <f>ROUND(F123+F130-F138,5)</f>
        <v>-3750.81</v>
      </c>
      <c r="G139" s="3"/>
      <c r="H139" s="7">
        <f>ROUND(H123+H130-H138,5)</f>
        <v>-5914.31</v>
      </c>
      <c r="I139" s="3"/>
      <c r="J139" s="7">
        <f>ROUND(J123+J130-J138,5)</f>
        <v>-5087.47</v>
      </c>
      <c r="K139" s="3"/>
      <c r="L139" s="7">
        <f>ROUND(L123+L130-L138,5)</f>
        <v>-5635.68</v>
      </c>
      <c r="M139" s="3"/>
      <c r="N139" s="7">
        <f>ROUND(N123+N130-N138,5)</f>
        <v>-5805.98</v>
      </c>
      <c r="O139" s="3"/>
      <c r="P139" s="7">
        <f>ROUND(P123+P130-P138,5)</f>
        <v>-6255.27</v>
      </c>
      <c r="Q139" s="3"/>
      <c r="R139" s="7">
        <f>ROUND(R123+R130-R138,5)</f>
        <v>-5962.29</v>
      </c>
      <c r="S139" s="3"/>
      <c r="T139" s="7">
        <f>ROUND(T123+T130-T138,5)</f>
        <v>52565.47</v>
      </c>
      <c r="U139" s="3"/>
      <c r="V139" s="7">
        <f>ROUND(V123+V130-V138,5)</f>
        <v>-7002.49</v>
      </c>
      <c r="W139" s="3"/>
      <c r="X139" s="7">
        <f>ROUND(X123+X130-X138,5)</f>
        <v>-10519.57</v>
      </c>
      <c r="Y139" s="3"/>
      <c r="Z139" s="7">
        <f>ROUND(Z123+Z130-Z138,5)</f>
        <v>2494.69</v>
      </c>
      <c r="AA139" s="3"/>
      <c r="AB139" s="7">
        <f>ROUND(AB123+AB130-AB138,5)</f>
        <v>-20685.87</v>
      </c>
      <c r="AC139" s="3"/>
      <c r="AD139" s="7">
        <f>ROUND(SUM(F139:AB139),5)</f>
        <v>-21559.58</v>
      </c>
    </row>
    <row r="140" spans="1:30" s="9" customFormat="1" ht="12" thickBot="1" x14ac:dyDescent="0.25">
      <c r="A140" s="1" t="s">
        <v>151</v>
      </c>
      <c r="B140" s="1"/>
      <c r="C140" s="1"/>
      <c r="D140" s="1"/>
      <c r="E140" s="1"/>
      <c r="F140" s="8">
        <f>ROUND(F122+F139,5)</f>
        <v>175839.4</v>
      </c>
      <c r="G140" s="1"/>
      <c r="H140" s="8">
        <f>ROUND(H122+H139,5)</f>
        <v>157340.57999999999</v>
      </c>
      <c r="I140" s="1"/>
      <c r="J140" s="8">
        <f>ROUND(J122+J139,5)</f>
        <v>99254.91</v>
      </c>
      <c r="K140" s="1"/>
      <c r="L140" s="8">
        <f>ROUND(L122+L139,5)</f>
        <v>252257.32</v>
      </c>
      <c r="M140" s="1"/>
      <c r="N140" s="8">
        <f>ROUND(N122+N139,5)</f>
        <v>267383.65000000002</v>
      </c>
      <c r="O140" s="1"/>
      <c r="P140" s="8">
        <f>ROUND(P122+P139,5)</f>
        <v>45311.82</v>
      </c>
      <c r="Q140" s="1"/>
      <c r="R140" s="8">
        <f>ROUND(R122+R139,5)</f>
        <v>-65343.99</v>
      </c>
      <c r="S140" s="1"/>
      <c r="T140" s="8">
        <f>ROUND(T122+T139,5)</f>
        <v>464083.47</v>
      </c>
      <c r="U140" s="1"/>
      <c r="V140" s="8">
        <f>ROUND(V122+V139,5)</f>
        <v>74993.42</v>
      </c>
      <c r="W140" s="1"/>
      <c r="X140" s="8">
        <f>ROUND(X122+X139,5)</f>
        <v>-66499.360000000001</v>
      </c>
      <c r="Y140" s="1"/>
      <c r="Z140" s="8">
        <f>ROUND(Z122+Z139,5)</f>
        <v>-103784.07</v>
      </c>
      <c r="AA140" s="1"/>
      <c r="AB140" s="8">
        <f>ROUND(AB122+AB139,5)</f>
        <v>84859.11</v>
      </c>
      <c r="AC140" s="1"/>
      <c r="AD140" s="8">
        <f>ROUND(SUM(F140:AB140),5)</f>
        <v>1385696.26</v>
      </c>
    </row>
    <row r="141" spans="1:30" ht="15.75" thickTop="1" x14ac:dyDescent="0.25"/>
  </sheetData>
  <pageMargins left="0.7" right="0.7" top="0.75" bottom="0.75" header="0.1" footer="0.3"/>
  <pageSetup orientation="portrait" horizontalDpi="0" verticalDpi="0" r:id="rId1"/>
  <headerFooter>
    <oddHeader>&amp;L&amp;"Arial,Bold"&amp;8 8:30 AM
&amp;"Arial,Bold"&amp;8 01/22/26
&amp;"Arial,Bold"&amp;8 Cash Basis&amp;C&amp;"Arial,Bold"&amp;12 NEW YORK DERMATOLOGY GROUP
&amp;"Arial,Bold"&amp;14 Profit &amp;&amp; Loss
&amp;"Arial,Bold"&amp;10 January through December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 Levin</dc:creator>
  <cp:lastModifiedBy>Chaya Levin</cp:lastModifiedBy>
  <dcterms:created xsi:type="dcterms:W3CDTF">2026-01-22T13:30:33Z</dcterms:created>
  <dcterms:modified xsi:type="dcterms:W3CDTF">2026-01-22T13:33:05Z</dcterms:modified>
</cp:coreProperties>
</file>