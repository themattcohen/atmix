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Schedule_A" sheetId="3" state="visible" r:id="rId3"/>
    <sheet name="Schedule_B" sheetId="4" state="visible" r:id="rId4"/>
    <sheet name="Schedule_C" sheetId="5" state="visible" r:id="rId5"/>
    <sheet name="Perspectives" sheetId="6" state="visible" r:id="rId6"/>
    <sheet name="Scen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0.0000"/>
  </numFmts>
  <fonts count="10">
    <font>
      <name val="Calibri"/>
      <family val="2"/>
      <color theme="1"/>
      <sz val="11"/>
      <scheme val="minor"/>
    </font>
    <font>
      <b val="1"/>
      <sz val="18"/>
    </font>
    <font>
      <i val="1"/>
      <sz val="10"/>
    </font>
    <font>
      <b val="1"/>
      <color rgb="00FFFFFF"/>
      <sz val="14"/>
    </font>
    <font>
      <b val="1"/>
    </font>
    <font>
      <b val="1"/>
      <sz val="16"/>
    </font>
    <font>
      <b val="1"/>
      <sz val="12"/>
    </font>
    <font>
      <b val="1"/>
      <sz val="14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center" wrapText="1"/>
    </xf>
    <xf numFmtId="164" fontId="0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3" borderId="0" pivotButton="0" quotePrefix="0" xfId="0"/>
    <xf numFmtId="164" fontId="0" fillId="4" borderId="0" pivotButton="0" quotePrefix="0" xfId="0"/>
    <xf numFmtId="0" fontId="7" fillId="0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8" fillId="2" borderId="0" pivotButton="0" quotePrefix="0" xfId="0"/>
    <xf numFmtId="164" fontId="4" fillId="0" borderId="0" pivotButton="0" quotePrefix="0" xfId="0"/>
    <xf numFmtId="166" fontId="0" fillId="0" borderId="0" pivotButton="0" quotePrefix="0" xfId="0"/>
    <xf numFmtId="164" fontId="4" fillId="4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5" customWidth="1" min="5" max="5"/>
  </cols>
  <sheetData>
    <row r="1">
      <c r="A1" s="1" t="inlineStr">
        <is>
          <t>NYDG LOI Options - Executive Summary</t>
        </is>
      </c>
    </row>
    <row r="2">
      <c r="A2" s="2" t="inlineStr">
        <is>
          <t>All values reference the Inputs sheet - change inputs to update all calculations</t>
        </is>
      </c>
    </row>
    <row r="4">
      <c r="A4" s="3" t="inlineStr">
        <is>
          <t>SIDE-BY-SIDE COMPARISON</t>
        </is>
      </c>
    </row>
    <row r="5">
      <c r="A5" s="4" t="inlineStr">
        <is>
          <t>Metric</t>
        </is>
      </c>
      <c r="B5" s="4" t="inlineStr">
        <is>
          <t>Option A
(Aggressive)</t>
        </is>
      </c>
      <c r="C5" s="4" t="inlineStr">
        <is>
          <t>Option B
(Balanced)</t>
        </is>
      </c>
      <c r="D5" s="4" t="inlineStr">
        <is>
          <t>Option C
(Premium)</t>
        </is>
      </c>
      <c r="E5" s="4" t="inlineStr">
        <is>
          <t>Notes</t>
        </is>
      </c>
    </row>
    <row r="6">
      <c r="A6" t="inlineStr">
        <is>
          <t>Headline Price</t>
        </is>
      </c>
      <c r="B6" s="5">
        <f>Inputs!B12</f>
        <v/>
      </c>
      <c r="C6" s="5">
        <f>Inputs!C12</f>
        <v/>
      </c>
      <c r="D6" s="5">
        <f>Inputs!D12</f>
        <v/>
      </c>
      <c r="E6" t="inlineStr">
        <is>
          <t>Enterprise Value</t>
        </is>
      </c>
    </row>
    <row r="7">
      <c r="A7" t="inlineStr">
        <is>
          <t>Initial Purchase (40%)</t>
        </is>
      </c>
      <c r="B7" s="5">
        <f>Inputs!B32</f>
        <v/>
      </c>
      <c r="C7" s="5">
        <f>Inputs!C32</f>
        <v/>
      </c>
      <c r="D7" s="5">
        <f>Inputs!D32</f>
        <v/>
      </c>
      <c r="E7" t="inlineStr"/>
    </row>
    <row r="8">
      <c r="A8" t="inlineStr">
        <is>
          <t>Down Payment</t>
        </is>
      </c>
      <c r="B8" s="5">
        <f>Inputs!B33</f>
        <v/>
      </c>
      <c r="C8" s="5">
        <f>Inputs!C33</f>
        <v/>
      </c>
      <c r="D8" s="5">
        <f>Inputs!D33</f>
        <v/>
      </c>
      <c r="E8" t="inlineStr">
        <is>
          <t>10% of initial tranche</t>
        </is>
      </c>
    </row>
    <row r="9">
      <c r="A9" t="inlineStr">
        <is>
          <t>Seller Note</t>
        </is>
      </c>
      <c r="B9" s="5">
        <f>Inputs!B34</f>
        <v/>
      </c>
      <c r="C9" s="5">
        <f>Inputs!C34</f>
        <v/>
      </c>
      <c r="D9" s="5">
        <f>Inputs!D34</f>
        <v/>
      </c>
      <c r="E9" t="inlineStr">
        <is>
          <t>Financed amount</t>
        </is>
      </c>
    </row>
    <row r="10">
      <c r="A10" t="inlineStr">
        <is>
          <t>Note Term</t>
        </is>
      </c>
      <c r="B10">
        <f>Inputs!B15</f>
        <v/>
      </c>
      <c r="C10">
        <f>Inputs!C15</f>
        <v/>
      </c>
      <c r="D10">
        <f>Inputs!D15</f>
        <v/>
      </c>
      <c r="E10" t="inlineStr">
        <is>
          <t>Years</t>
        </is>
      </c>
    </row>
    <row r="11">
      <c r="A11" t="inlineStr">
        <is>
          <t>0% Interest Period</t>
        </is>
      </c>
      <c r="B11">
        <f>Inputs!B16</f>
        <v/>
      </c>
      <c r="C11">
        <f>Inputs!C16</f>
        <v/>
      </c>
      <c r="D11">
        <f>Inputs!D16</f>
        <v/>
      </c>
      <c r="E11" t="inlineStr">
        <is>
          <t>Years</t>
        </is>
      </c>
    </row>
    <row r="12">
      <c r="A12" t="inlineStr">
        <is>
          <t>Total Consulting</t>
        </is>
      </c>
      <c r="B12" s="5">
        <f>Inputs!B36</f>
        <v/>
      </c>
      <c r="C12" s="5">
        <f>Inputs!C36</f>
        <v/>
      </c>
      <c r="D12" s="5">
        <f>Inputs!D36</f>
        <v/>
      </c>
      <c r="E12" t="inlineStr"/>
    </row>
    <row r="13">
      <c r="A13" t="inlineStr">
        <is>
          <t>Grand Total Nominal</t>
        </is>
      </c>
      <c r="B13" s="5">
        <f>Inputs!B12+Inputs!B36</f>
        <v/>
      </c>
      <c r="C13" s="5">
        <f>Inputs!C12+Inputs!C36</f>
        <v/>
      </c>
      <c r="D13" s="5">
        <f>Inputs!D12+Inputs!D36</f>
        <v/>
      </c>
      <c r="E13" t="inlineStr">
        <is>
          <t>Including consulting</t>
        </is>
      </c>
    </row>
    <row r="15">
      <c r="A15" s="3" t="inlineStr">
        <is>
          <t>PRESENT VALUE ANALYSIS</t>
        </is>
      </c>
    </row>
    <row r="16">
      <c r="A16" s="6" t="inlineStr">
        <is>
          <t>Component</t>
        </is>
      </c>
      <c r="B16" s="6" t="inlineStr">
        <is>
          <t>Option A</t>
        </is>
      </c>
      <c r="C16" s="6" t="inlineStr">
        <is>
          <t>Option B</t>
        </is>
      </c>
      <c r="D16" s="6" t="inlineStr">
        <is>
          <t>Option C</t>
        </is>
      </c>
      <c r="E16" s="6" t="inlineStr">
        <is>
          <t>Formula Logic</t>
        </is>
      </c>
    </row>
    <row r="17">
      <c r="A17" t="inlineStr">
        <is>
          <t>Down Payment (PV)</t>
        </is>
      </c>
      <c r="B17" s="5">
        <f>Inputs!B33</f>
        <v/>
      </c>
      <c r="C17" s="5">
        <f>Inputs!C33</f>
        <v/>
      </c>
      <c r="D17" s="5">
        <f>Inputs!D33</f>
        <v/>
      </c>
      <c r="E17" t="inlineStr">
        <is>
          <t>No discount - paid at close</t>
        </is>
      </c>
    </row>
    <row r="18">
      <c r="A18" t="inlineStr">
        <is>
          <t>Est. Phase 1 Payments PV</t>
        </is>
      </c>
      <c r="B18">
        <f>"~"&amp;TEXT(Inputs!B34*0.6,"$#,##0")</f>
        <v/>
      </c>
      <c r="C18">
        <f>"~"&amp;TEXT(Inputs!C34*0.65,"$#,##0")</f>
        <v/>
      </c>
      <c r="D18">
        <f>"~"&amp;TEXT(Inputs!D34*0.55,"$#,##0")</f>
        <v/>
      </c>
      <c r="E18" t="inlineStr">
        <is>
          <t>Discounted at PV rate</t>
        </is>
      </c>
    </row>
    <row r="19">
      <c r="A19" t="inlineStr">
        <is>
          <t>Est. Future Tranches PV</t>
        </is>
      </c>
      <c r="B19">
        <f>"~"&amp;TEXT(Inputs!B35*0.55,"$#,##0")</f>
        <v/>
      </c>
      <c r="C19">
        <f>"~"&amp;TEXT(Inputs!C35*0.58,"$#,##0")</f>
        <v/>
      </c>
      <c r="D19">
        <f>"~"&amp;TEXT(Inputs!D35*0.50,"$#,##0")</f>
        <v/>
      </c>
      <c r="E19" t="inlineStr">
        <is>
          <t>Heavily discounted</t>
        </is>
      </c>
    </row>
    <row r="20">
      <c r="A20" t="inlineStr">
        <is>
          <t>Total Est. PV</t>
        </is>
      </c>
      <c r="B20" s="5">
        <f>Inputs!B33+Inputs!B34*0.6+Inputs!B35*0.55</f>
        <v/>
      </c>
      <c r="C20" s="5">
        <f>Inputs!C33+Inputs!C34*0.65+Inputs!C35*0.58</f>
        <v/>
      </c>
      <c r="D20" s="5">
        <f>Inputs!D33+Inputs!D34*0.55+Inputs!D35*0.50</f>
        <v/>
      </c>
      <c r="E20" t="inlineStr">
        <is>
          <t>Sum of components</t>
        </is>
      </c>
    </row>
    <row r="21">
      <c r="A21" t="inlineStr">
        <is>
          <t>PV as % of Headline</t>
        </is>
      </c>
      <c r="B21" s="7">
        <f>(Inputs!B33+Inputs!B34*0.6+Inputs!B35*0.55)/Inputs!B12</f>
        <v/>
      </c>
      <c r="C21" s="7">
        <f>(Inputs!C33+Inputs!C34*0.65+Inputs!C35*0.58)/Inputs!C12</f>
        <v/>
      </c>
      <c r="D21" s="7">
        <f>(Inputs!D33+Inputs!D34*0.55+Inputs!D35*0.50)/Inputs!D12</f>
        <v/>
      </c>
      <c r="E21" t="inlineStr">
        <is>
          <t>True cost %</t>
        </is>
      </c>
    </row>
    <row r="24">
      <c r="A24" s="3" t="inlineStr">
        <is>
          <t>EXTERNAL BUYER COMPARISON</t>
        </is>
      </c>
    </row>
    <row r="25">
      <c r="A25" t="inlineStr">
        <is>
          <t>External Buyer EV (Low)</t>
        </is>
      </c>
      <c r="B25" s="5">
        <f>Inputs!B5*Inputs!B25</f>
        <v/>
      </c>
      <c r="E25">
        <f>Inputs!B25&amp;"x EBITDA"</f>
        <v/>
      </c>
    </row>
    <row r="26">
      <c r="A26" t="inlineStr">
        <is>
          <t>External Buyer EV (High)</t>
        </is>
      </c>
      <c r="B26" s="5">
        <f>Inputs!B5*Inputs!B26</f>
        <v/>
      </c>
      <c r="E26">
        <f>Inputs!B26&amp;"x EBITDA"</f>
        <v/>
      </c>
    </row>
    <row r="27">
      <c r="A27" t="inlineStr">
        <is>
          <t>Less: Debt Payoff</t>
        </is>
      </c>
      <c r="B27" s="5">
        <f>-Inputs!B6</f>
        <v/>
      </c>
      <c r="E27" t="inlineStr"/>
    </row>
    <row r="28">
      <c r="A28" t="inlineStr">
        <is>
          <t>External Equity Value (Low)</t>
        </is>
      </c>
      <c r="B28" s="5">
        <f>Inputs!B5*Inputs!B25-Inputs!B6</f>
        <v/>
      </c>
      <c r="E28" t="inlineStr">
        <is>
          <t>What external pays</t>
        </is>
      </c>
    </row>
    <row r="29">
      <c r="A29" t="inlineStr">
        <is>
          <t>External Equity Value (High)</t>
        </is>
      </c>
      <c r="B29" s="5">
        <f>Inputs!B5*Inputs!B26-Inputs!B6</f>
        <v/>
      </c>
      <c r="E29" t="inlineStr"/>
    </row>
    <row r="30">
      <c r="A30" t="inlineStr"/>
      <c r="E30" t="inlineStr"/>
    </row>
    <row r="31">
      <c r="A31" t="inlineStr">
        <is>
          <t>Belkin MBO Premium (vs Low)</t>
        </is>
      </c>
      <c r="B31" s="5">
        <f>Inputs!B12-(Inputs!B5*Inputs!B25-Inputs!B6)</f>
        <v/>
      </c>
      <c r="C31" s="5">
        <f>Inputs!C12-(Inputs!B5*Inputs!B25-Inputs!B6)</f>
        <v/>
      </c>
      <c r="D31" s="5">
        <f>Inputs!D12-(Inputs!B5*Inputs!B25-Inputs!B6)</f>
        <v/>
      </c>
      <c r="E31" t="inlineStr">
        <is>
          <t>Premium over external</t>
        </is>
      </c>
    </row>
  </sheetData>
  <mergeCells count="4">
    <mergeCell ref="A15:E15"/>
    <mergeCell ref="A1:E1"/>
    <mergeCell ref="A4:E4"/>
    <mergeCell ref="A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8" t="inlineStr">
        <is>
          <t>NYDG LOI Calculator - Input Parameters</t>
        </is>
      </c>
    </row>
    <row r="3">
      <c r="A3" s="3" t="inlineStr">
        <is>
          <t>PRACTICE FUNDAMENTALS</t>
        </is>
      </c>
    </row>
    <row r="4">
      <c r="A4" t="inlineStr">
        <is>
          <t>2025 Revenue</t>
        </is>
      </c>
      <c r="B4" s="9" t="n">
        <v>13732000</v>
      </c>
    </row>
    <row r="5">
      <c r="A5" t="inlineStr">
        <is>
          <t>2025 EBITDA (Est.)</t>
        </is>
      </c>
      <c r="B5" s="9" t="n">
        <v>2932000</v>
      </c>
    </row>
    <row r="6">
      <c r="A6" t="inlineStr">
        <is>
          <t>BofA Loan Outstanding</t>
        </is>
      </c>
      <c r="B6" s="9" t="n">
        <v>2205200</v>
      </c>
    </row>
    <row r="7">
      <c r="A7" t="inlineStr">
        <is>
          <t>Belkin 2025 Billings</t>
        </is>
      </c>
      <c r="B7" s="9" t="n">
        <v>5450000</v>
      </c>
    </row>
    <row r="8">
      <c r="A8" t="inlineStr">
        <is>
          <t>Belkin % of Revenue</t>
        </is>
      </c>
      <c r="B8" s="10">
        <f>B7/B4</f>
        <v/>
      </c>
    </row>
    <row r="10">
      <c r="A10" s="3" t="inlineStr">
        <is>
          <t>OPTION PARAMETERS</t>
        </is>
      </c>
    </row>
    <row r="11">
      <c r="A11" s="6" t="inlineStr"/>
      <c r="B11" s="6" t="inlineStr">
        <is>
          <t>Option A</t>
        </is>
      </c>
      <c r="C11" s="6" t="inlineStr">
        <is>
          <t>Option B</t>
        </is>
      </c>
      <c r="D11" s="6" t="inlineStr">
        <is>
          <t>Option C</t>
        </is>
      </c>
    </row>
    <row r="12">
      <c r="A12" t="inlineStr">
        <is>
          <t>Enterprise Value</t>
        </is>
      </c>
      <c r="B12" s="9" t="n">
        <v>6500000</v>
      </c>
      <c r="C12" s="9" t="n">
        <v>8000000</v>
      </c>
      <c r="D12" s="9" t="n">
        <v>10000000</v>
      </c>
    </row>
    <row r="13">
      <c r="A13" t="inlineStr">
        <is>
          <t>Initial Purchase %</t>
        </is>
      </c>
      <c r="B13" s="10" t="n">
        <v>0.4</v>
      </c>
      <c r="C13" s="10" t="n">
        <v>0.4</v>
      </c>
      <c r="D13" s="10" t="n">
        <v>0.4</v>
      </c>
    </row>
    <row r="14">
      <c r="A14" t="inlineStr">
        <is>
          <t>Down Payment %</t>
        </is>
      </c>
      <c r="B14" s="10" t="n">
        <v>0.1</v>
      </c>
      <c r="C14" s="10" t="n">
        <v>0.1</v>
      </c>
      <c r="D14" s="10" t="n">
        <v>0.1</v>
      </c>
    </row>
    <row r="15">
      <c r="A15" t="inlineStr">
        <is>
          <t>Note Term (Years)</t>
        </is>
      </c>
      <c r="B15" s="11" t="n">
        <v>10</v>
      </c>
      <c r="C15" s="11" t="n">
        <v>7</v>
      </c>
      <c r="D15" s="11" t="n">
        <v>10</v>
      </c>
    </row>
    <row r="16">
      <c r="A16" t="inlineStr">
        <is>
          <t>0% Interest Period (Years)</t>
        </is>
      </c>
      <c r="B16" s="10" t="n">
        <v>5</v>
      </c>
      <c r="C16" s="10" t="n">
        <v>3</v>
      </c>
      <c r="D16" s="10" t="n">
        <v>5</v>
      </c>
    </row>
    <row r="17">
      <c r="A17" t="inlineStr">
        <is>
          <t>Interest Rate (AFR)</t>
        </is>
      </c>
      <c r="B17" s="10" t="n">
        <v>0.045</v>
      </c>
      <c r="C17" s="10" t="n">
        <v>0.045</v>
      </c>
      <c r="D17" s="10" t="n">
        <v>0.045</v>
      </c>
    </row>
    <row r="18">
      <c r="A18" t="inlineStr">
        <is>
          <t>Amortization (Years)</t>
        </is>
      </c>
      <c r="B18" s="11" t="n">
        <v>20</v>
      </c>
      <c r="C18" s="11" t="n">
        <v>15</v>
      </c>
      <c r="D18" s="11" t="n">
        <v>25</v>
      </c>
    </row>
    <row r="19">
      <c r="A19" t="inlineStr">
        <is>
          <t>Consulting ($/yr)</t>
        </is>
      </c>
      <c r="B19" s="9" t="n">
        <v>0</v>
      </c>
      <c r="C19" s="9" t="n">
        <v>0</v>
      </c>
      <c r="D19" s="9" t="n">
        <v>150000</v>
      </c>
    </row>
    <row r="20">
      <c r="A20" t="inlineStr">
        <is>
          <t>Consulting Years</t>
        </is>
      </c>
      <c r="B20" s="11" t="n">
        <v>0</v>
      </c>
      <c r="C20" s="11" t="n">
        <v>0</v>
      </c>
      <c r="D20" s="11" t="n">
        <v>5</v>
      </c>
    </row>
    <row r="23">
      <c r="A23" s="3" t="inlineStr">
        <is>
          <t>VALUATION &amp; DISCOUNT PARAMETERS</t>
        </is>
      </c>
    </row>
    <row r="24">
      <c r="A24" t="inlineStr">
        <is>
          <t>PV Discount Rate</t>
        </is>
      </c>
      <c r="B24" s="10" t="n">
        <v>0.08</v>
      </c>
    </row>
    <row r="25">
      <c r="A25" t="inlineStr">
        <is>
          <t>External Buyer Low Multiple</t>
        </is>
      </c>
      <c r="B25" s="11" t="n">
        <v>4.5</v>
      </c>
    </row>
    <row r="26">
      <c r="A26" t="inlineStr">
        <is>
          <t>External Buyer High Multiple</t>
        </is>
      </c>
      <c r="B26" s="11" t="n">
        <v>5.5</v>
      </c>
    </row>
    <row r="27">
      <c r="A27" t="inlineStr">
        <is>
          <t>MBO Low Multiple</t>
        </is>
      </c>
      <c r="B27" s="11" t="n">
        <v>5.75</v>
      </c>
    </row>
    <row r="28">
      <c r="A28" t="inlineStr">
        <is>
          <t>MBO High Multiple</t>
        </is>
      </c>
      <c r="B28" s="11" t="n">
        <v>6.75</v>
      </c>
    </row>
    <row r="29">
      <c r="A29" t="inlineStr">
        <is>
          <t>Key Person Risk Discount</t>
        </is>
      </c>
      <c r="B29" s="10" t="n">
        <v>0.15</v>
      </c>
    </row>
    <row r="31">
      <c r="A31" s="3" t="inlineStr">
        <is>
          <t>CALCULATED VALUES (Reference)</t>
        </is>
      </c>
    </row>
    <row r="32">
      <c r="A32" t="inlineStr">
        <is>
          <t>Initial Purchase Price</t>
        </is>
      </c>
      <c r="B32" s="12">
        <f>B12*B13</f>
        <v/>
      </c>
      <c r="C32" s="12">
        <f>C12*C13</f>
        <v/>
      </c>
      <c r="D32" s="12">
        <f>D12*D13</f>
        <v/>
      </c>
    </row>
    <row r="33">
      <c r="A33" t="inlineStr">
        <is>
          <t>Down Payment Amount</t>
        </is>
      </c>
      <c r="B33" s="12">
        <f>B32*B14</f>
        <v/>
      </c>
      <c r="C33" s="12">
        <f>C32*C14</f>
        <v/>
      </c>
      <c r="D33" s="12">
        <f>D32*D14</f>
        <v/>
      </c>
    </row>
    <row r="34">
      <c r="A34" t="inlineStr">
        <is>
          <t>Seller Note Amount</t>
        </is>
      </c>
      <c r="B34" s="12">
        <f>B32-B33</f>
        <v/>
      </c>
      <c r="C34" s="12">
        <f>C32-C33</f>
        <v/>
      </c>
      <c r="D34" s="12">
        <f>D32-D33</f>
        <v/>
      </c>
    </row>
    <row r="35">
      <c r="A35" t="inlineStr">
        <is>
          <t>Remaining 60% Value</t>
        </is>
      </c>
      <c r="B35" s="12">
        <f>B12*(1-B13)</f>
        <v/>
      </c>
      <c r="C35" s="12">
        <f>C12*(1-C13)</f>
        <v/>
      </c>
      <c r="D35" s="12">
        <f>D12*(1-D13)</f>
        <v/>
      </c>
    </row>
    <row r="36">
      <c r="A36" t="inlineStr">
        <is>
          <t>Total Consulting Value</t>
        </is>
      </c>
      <c r="B36" s="12">
        <f>B19*B20</f>
        <v/>
      </c>
      <c r="C36" s="12">
        <f>C19*C20</f>
        <v/>
      </c>
      <c r="D36" s="12">
        <f>D19*D20</f>
        <v/>
      </c>
    </row>
  </sheetData>
  <mergeCells count="5">
    <mergeCell ref="A1:D1"/>
    <mergeCell ref="A23:D23"/>
    <mergeCell ref="A31:D31"/>
    <mergeCell ref="A3:D3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3" t="inlineStr">
        <is>
          <t>Payment Schedule - Option A</t>
        </is>
      </c>
    </row>
    <row r="3">
      <c r="A3" s="6" t="inlineStr">
        <is>
          <t>Key Inputs (from Inputs sheet)</t>
        </is>
      </c>
    </row>
    <row r="4">
      <c r="A4" t="inlineStr">
        <is>
          <t>Enterprise Value</t>
        </is>
      </c>
      <c r="B4" s="12">
        <f>Inputs!B12</f>
        <v/>
      </c>
    </row>
    <row r="5">
      <c r="A5" t="inlineStr">
        <is>
          <t>Initial Purchase Amount</t>
        </is>
      </c>
      <c r="B5" s="12">
        <f>Inputs!B32</f>
        <v/>
      </c>
    </row>
    <row r="6">
      <c r="A6" t="inlineStr">
        <is>
          <t>Down Payment</t>
        </is>
      </c>
      <c r="B6" s="12">
        <f>Inputs!B33</f>
        <v/>
      </c>
    </row>
    <row r="7">
      <c r="A7" t="inlineStr">
        <is>
          <t>Seller Note</t>
        </is>
      </c>
      <c r="B7" s="12">
        <f>Inputs!B34</f>
        <v/>
      </c>
    </row>
    <row r="8">
      <c r="A8" t="inlineStr">
        <is>
          <t>Note Term</t>
        </is>
      </c>
      <c r="B8" s="14">
        <f>Inputs!B15</f>
        <v/>
      </c>
    </row>
    <row r="9">
      <c r="A9" t="inlineStr">
        <is>
          <t>0% Period</t>
        </is>
      </c>
      <c r="B9" s="14">
        <f>Inputs!B16</f>
        <v/>
      </c>
    </row>
    <row r="10">
      <c r="A10" t="inlineStr">
        <is>
          <t>Interest Rate</t>
        </is>
      </c>
      <c r="B10" s="15">
        <f>Inputs!B17</f>
        <v/>
      </c>
    </row>
    <row r="11">
      <c r="A11" t="inlineStr">
        <is>
          <t>Amortization</t>
        </is>
      </c>
      <c r="B11" s="14">
        <f>Inputs!B18</f>
        <v/>
      </c>
    </row>
    <row r="13">
      <c r="A13" s="6" t="inlineStr">
        <is>
          <t>Phase 1 Payment Schedule (40% Purchase)</t>
        </is>
      </c>
    </row>
    <row r="14">
      <c r="A14" s="16" t="inlineStr">
        <is>
          <t>Year</t>
        </is>
      </c>
      <c r="B14" s="16" t="inlineStr">
        <is>
          <t>Beginning Balance</t>
        </is>
      </c>
      <c r="C14" s="16" t="inlineStr">
        <is>
          <t>Payment</t>
        </is>
      </c>
      <c r="D14" s="16" t="inlineStr">
        <is>
          <t>Interest</t>
        </is>
      </c>
      <c r="E14" s="16" t="inlineStr">
        <is>
          <t>Principal</t>
        </is>
      </c>
      <c r="F14" s="16" t="inlineStr">
        <is>
          <t>Ending Balance</t>
        </is>
      </c>
      <c r="G14" s="16" t="inlineStr">
        <is>
          <t>Cumulative Paid</t>
        </is>
      </c>
    </row>
    <row r="15">
      <c r="A15" t="n">
        <v>0</v>
      </c>
      <c r="B15" s="5">
        <f>Inputs!B34</f>
        <v/>
      </c>
      <c r="C15" s="5">
        <f>Inputs!B33</f>
        <v/>
      </c>
      <c r="D15" s="5" t="n">
        <v>0</v>
      </c>
      <c r="E15" s="5">
        <f>Inputs!B33</f>
        <v/>
      </c>
      <c r="F15" s="5">
        <f>Inputs!B34</f>
        <v/>
      </c>
      <c r="G15" s="5">
        <f>C15</f>
        <v/>
      </c>
    </row>
    <row r="16">
      <c r="A16" t="n">
        <v>1</v>
      </c>
      <c r="B16" s="5">
        <f>F15</f>
        <v/>
      </c>
      <c r="C16" s="5">
        <f>IF(A16&lt;=B8,B7/B11,0)</f>
        <v/>
      </c>
      <c r="D16" s="5">
        <f>IF(A16&lt;=B9,0,B16*B10)</f>
        <v/>
      </c>
      <c r="E16" s="5">
        <f>C16-D16</f>
        <v/>
      </c>
      <c r="F16" s="5">
        <f>MAX(0,B16-E16)</f>
        <v/>
      </c>
      <c r="G16" s="5">
        <f>G15+C16</f>
        <v/>
      </c>
    </row>
    <row r="17">
      <c r="A17" t="n">
        <v>2</v>
      </c>
      <c r="B17" s="5">
        <f>F16</f>
        <v/>
      </c>
      <c r="C17" s="5">
        <f>IF(A17&lt;=B8,B7/B11,0)</f>
        <v/>
      </c>
      <c r="D17" s="5">
        <f>IF(A17&lt;=B9,0,B17*B10)</f>
        <v/>
      </c>
      <c r="E17" s="5">
        <f>C17-D17</f>
        <v/>
      </c>
      <c r="F17" s="5">
        <f>MAX(0,B17-E17)</f>
        <v/>
      </c>
      <c r="G17" s="5">
        <f>G16+C17</f>
        <v/>
      </c>
    </row>
    <row r="18">
      <c r="A18" t="n">
        <v>3</v>
      </c>
      <c r="B18" s="5">
        <f>F17</f>
        <v/>
      </c>
      <c r="C18" s="5">
        <f>IF(A18&lt;=B8,B7/B11,0)</f>
        <v/>
      </c>
      <c r="D18" s="5">
        <f>IF(A18&lt;=B9,0,B18*B10)</f>
        <v/>
      </c>
      <c r="E18" s="5">
        <f>C18-D18</f>
        <v/>
      </c>
      <c r="F18" s="5">
        <f>MAX(0,B18-E18)</f>
        <v/>
      </c>
      <c r="G18" s="5">
        <f>G17+C18</f>
        <v/>
      </c>
    </row>
    <row r="19">
      <c r="A19" t="n">
        <v>4</v>
      </c>
      <c r="B19" s="5">
        <f>F18</f>
        <v/>
      </c>
      <c r="C19" s="5">
        <f>IF(A19&lt;=B8,B7/B11,0)</f>
        <v/>
      </c>
      <c r="D19" s="5">
        <f>IF(A19&lt;=B9,0,B19*B10)</f>
        <v/>
      </c>
      <c r="E19" s="5">
        <f>C19-D19</f>
        <v/>
      </c>
      <c r="F19" s="5">
        <f>MAX(0,B19-E19)</f>
        <v/>
      </c>
      <c r="G19" s="5">
        <f>G18+C19</f>
        <v/>
      </c>
    </row>
    <row r="20">
      <c r="A20" t="n">
        <v>5</v>
      </c>
      <c r="B20" s="5">
        <f>F19</f>
        <v/>
      </c>
      <c r="C20" s="5">
        <f>IF(A20&lt;=B8,B7/B11,0)</f>
        <v/>
      </c>
      <c r="D20" s="5">
        <f>IF(A20&lt;=B9,0,B20*B10)</f>
        <v/>
      </c>
      <c r="E20" s="5">
        <f>C20-D20</f>
        <v/>
      </c>
      <c r="F20" s="5">
        <f>MAX(0,B20-E20)</f>
        <v/>
      </c>
      <c r="G20" s="5">
        <f>G19+C20</f>
        <v/>
      </c>
    </row>
    <row r="21">
      <c r="A21" t="n">
        <v>6</v>
      </c>
      <c r="B21" s="5">
        <f>F20</f>
        <v/>
      </c>
      <c r="C21" s="5">
        <f>IF(A21&lt;=B8,B7/B11,0)</f>
        <v/>
      </c>
      <c r="D21" s="5">
        <f>IF(A21&lt;=B9,0,B21*B10)</f>
        <v/>
      </c>
      <c r="E21" s="5">
        <f>C21-D21</f>
        <v/>
      </c>
      <c r="F21" s="5">
        <f>MAX(0,B21-E21)</f>
        <v/>
      </c>
      <c r="G21" s="5">
        <f>G20+C21</f>
        <v/>
      </c>
    </row>
    <row r="22">
      <c r="A22" t="n">
        <v>7</v>
      </c>
      <c r="B22" s="5">
        <f>F21</f>
        <v/>
      </c>
      <c r="C22" s="5">
        <f>IF(A22&lt;=B8,B7/B11,0)</f>
        <v/>
      </c>
      <c r="D22" s="5">
        <f>IF(A22&lt;=B9,0,B22*B10)</f>
        <v/>
      </c>
      <c r="E22" s="5">
        <f>C22-D22</f>
        <v/>
      </c>
      <c r="F22" s="5">
        <f>MAX(0,B22-E22)</f>
        <v/>
      </c>
      <c r="G22" s="5">
        <f>G21+C22</f>
        <v/>
      </c>
    </row>
    <row r="23">
      <c r="A23" t="n">
        <v>8</v>
      </c>
      <c r="B23" s="5">
        <f>F22</f>
        <v/>
      </c>
      <c r="C23" s="5">
        <f>IF(A23&lt;=B8,B7/B11,0)</f>
        <v/>
      </c>
      <c r="D23" s="5">
        <f>IF(A23&lt;=B9,0,B23*B10)</f>
        <v/>
      </c>
      <c r="E23" s="5">
        <f>C23-D23</f>
        <v/>
      </c>
      <c r="F23" s="5">
        <f>MAX(0,B23-E23)</f>
        <v/>
      </c>
      <c r="G23" s="5">
        <f>G22+C23</f>
        <v/>
      </c>
    </row>
    <row r="24">
      <c r="A24" t="n">
        <v>9</v>
      </c>
      <c r="B24" s="5">
        <f>F23</f>
        <v/>
      </c>
      <c r="C24" s="5">
        <f>IF(A24&lt;=B8,B7/B11,0)</f>
        <v/>
      </c>
      <c r="D24" s="5">
        <f>IF(A24&lt;=B9,0,B24*B10)</f>
        <v/>
      </c>
      <c r="E24" s="5">
        <f>C24-D24</f>
        <v/>
      </c>
      <c r="F24" s="5">
        <f>MAX(0,B24-E24)</f>
        <v/>
      </c>
      <c r="G24" s="5">
        <f>G23+C24</f>
        <v/>
      </c>
    </row>
    <row r="25">
      <c r="A25" t="n">
        <v>10</v>
      </c>
      <c r="B25" s="5">
        <f>F24</f>
        <v/>
      </c>
      <c r="C25" s="5">
        <f>IF(A25&lt;=B8,B7/B11,0)</f>
        <v/>
      </c>
      <c r="D25" s="5">
        <f>IF(A25&lt;=B9,0,B25*B10)</f>
        <v/>
      </c>
      <c r="E25" s="5">
        <f>C25-D25</f>
        <v/>
      </c>
      <c r="F25" s="5">
        <f>MAX(0,B25-E25)</f>
        <v/>
      </c>
      <c r="G25" s="5">
        <f>G24+C25</f>
        <v/>
      </c>
    </row>
    <row r="26">
      <c r="A26" t="n">
        <v>11</v>
      </c>
      <c r="B26" s="5">
        <f>F25</f>
        <v/>
      </c>
      <c r="C26" s="5">
        <f>IF(A26&lt;=B8,B7/B11,0)</f>
        <v/>
      </c>
      <c r="D26" s="5">
        <f>IF(A26&lt;=B9,0,B26*B10)</f>
        <v/>
      </c>
      <c r="E26" s="5">
        <f>C26-D26</f>
        <v/>
      </c>
      <c r="F26" s="5">
        <f>MAX(0,B26-E26)</f>
        <v/>
      </c>
      <c r="G26" s="5">
        <f>G25+C26</f>
        <v/>
      </c>
    </row>
    <row r="27">
      <c r="A27" t="n">
        <v>12</v>
      </c>
      <c r="B27" s="5">
        <f>F26</f>
        <v/>
      </c>
      <c r="C27" s="5">
        <f>IF(A27&lt;=B8,B7/B11,0)</f>
        <v/>
      </c>
      <c r="D27" s="5">
        <f>IF(A27&lt;=B9,0,B27*B10)</f>
        <v/>
      </c>
      <c r="E27" s="5">
        <f>C27-D27</f>
        <v/>
      </c>
      <c r="F27" s="5">
        <f>MAX(0,B27-E27)</f>
        <v/>
      </c>
      <c r="G27" s="5">
        <f>G26+C27</f>
        <v/>
      </c>
    </row>
    <row r="28">
      <c r="A28" s="6" t="inlineStr">
        <is>
          <t>Total</t>
        </is>
      </c>
      <c r="C28" s="17">
        <f>SUM(C15:C27)</f>
        <v/>
      </c>
      <c r="D28" s="17">
        <f>SUM(D15:D27)</f>
        <v/>
      </c>
      <c r="E28" s="17">
        <f>SUM(E15:E27)</f>
        <v/>
      </c>
      <c r="G28" s="17">
        <f>G27</f>
        <v/>
      </c>
    </row>
    <row r="31">
      <c r="A31" s="6" t="inlineStr">
        <is>
          <t>Present Value Calculation</t>
        </is>
      </c>
    </row>
    <row r="32">
      <c r="A32" t="inlineStr">
        <is>
          <t>Discount Rate</t>
        </is>
      </c>
      <c r="B32" s="7">
        <f>Inputs!B24</f>
        <v/>
      </c>
    </row>
    <row r="34">
      <c r="A34" s="6" t="inlineStr">
        <is>
          <t>Year</t>
        </is>
      </c>
      <c r="B34" s="6" t="inlineStr">
        <is>
          <t>Payment</t>
        </is>
      </c>
      <c r="C34" s="6" t="inlineStr">
        <is>
          <t>PV Factor</t>
        </is>
      </c>
      <c r="D34" s="6" t="inlineStr">
        <is>
          <t>Present Value</t>
        </is>
      </c>
    </row>
    <row r="35">
      <c r="A35" t="n">
        <v>0</v>
      </c>
      <c r="B35" s="5">
        <f>C15</f>
        <v/>
      </c>
      <c r="C35" s="18">
        <f>1/(1+$B$32)^A35</f>
        <v/>
      </c>
      <c r="D35" s="5">
        <f>B35*C35</f>
        <v/>
      </c>
    </row>
    <row r="36">
      <c r="A36" t="n">
        <v>1</v>
      </c>
      <c r="B36" s="5">
        <f>C16</f>
        <v/>
      </c>
      <c r="C36" s="18">
        <f>1/(1+$B$32)^A36</f>
        <v/>
      </c>
      <c r="D36" s="5">
        <f>B36*C36</f>
        <v/>
      </c>
    </row>
    <row r="37">
      <c r="A37" t="n">
        <v>2</v>
      </c>
      <c r="B37" s="5">
        <f>C17</f>
        <v/>
      </c>
      <c r="C37" s="18">
        <f>1/(1+$B$32)^A37</f>
        <v/>
      </c>
      <c r="D37" s="5">
        <f>B37*C37</f>
        <v/>
      </c>
    </row>
    <row r="38">
      <c r="A38" t="n">
        <v>3</v>
      </c>
      <c r="B38" s="5">
        <f>C18</f>
        <v/>
      </c>
      <c r="C38" s="18">
        <f>1/(1+$B$32)^A38</f>
        <v/>
      </c>
      <c r="D38" s="5">
        <f>B38*C38</f>
        <v/>
      </c>
    </row>
    <row r="39">
      <c r="A39" t="n">
        <v>4</v>
      </c>
      <c r="B39" s="5">
        <f>C19</f>
        <v/>
      </c>
      <c r="C39" s="18">
        <f>1/(1+$B$32)^A39</f>
        <v/>
      </c>
      <c r="D39" s="5">
        <f>B39*C39</f>
        <v/>
      </c>
    </row>
    <row r="40">
      <c r="A40" t="n">
        <v>5</v>
      </c>
      <c r="B40" s="5">
        <f>C20</f>
        <v/>
      </c>
      <c r="C40" s="18">
        <f>1/(1+$B$32)^A40</f>
        <v/>
      </c>
      <c r="D40" s="5">
        <f>B40*C40</f>
        <v/>
      </c>
    </row>
    <row r="41">
      <c r="A41" t="n">
        <v>6</v>
      </c>
      <c r="B41" s="5">
        <f>C21</f>
        <v/>
      </c>
      <c r="C41" s="18">
        <f>1/(1+$B$32)^A41</f>
        <v/>
      </c>
      <c r="D41" s="5">
        <f>B41*C41</f>
        <v/>
      </c>
    </row>
    <row r="42">
      <c r="A42" t="n">
        <v>7</v>
      </c>
      <c r="B42" s="5">
        <f>C22</f>
        <v/>
      </c>
      <c r="C42" s="18">
        <f>1/(1+$B$32)^A42</f>
        <v/>
      </c>
      <c r="D42" s="5">
        <f>B42*C42</f>
        <v/>
      </c>
    </row>
    <row r="43">
      <c r="A43" t="n">
        <v>8</v>
      </c>
      <c r="B43" s="5">
        <f>C23</f>
        <v/>
      </c>
      <c r="C43" s="18">
        <f>1/(1+$B$32)^A43</f>
        <v/>
      </c>
      <c r="D43" s="5">
        <f>B43*C43</f>
        <v/>
      </c>
    </row>
    <row r="44">
      <c r="A44" t="n">
        <v>9</v>
      </c>
      <c r="B44" s="5">
        <f>C24</f>
        <v/>
      </c>
      <c r="C44" s="18">
        <f>1/(1+$B$32)^A44</f>
        <v/>
      </c>
      <c r="D44" s="5">
        <f>B44*C44</f>
        <v/>
      </c>
    </row>
    <row r="45">
      <c r="A45" t="n">
        <v>10</v>
      </c>
      <c r="B45" s="5">
        <f>C25</f>
        <v/>
      </c>
      <c r="C45" s="18">
        <f>1/(1+$B$32)^A45</f>
        <v/>
      </c>
      <c r="D45" s="5">
        <f>B45*C45</f>
        <v/>
      </c>
    </row>
    <row r="46">
      <c r="A46" t="n">
        <v>11</v>
      </c>
      <c r="B46" s="5">
        <f>C26</f>
        <v/>
      </c>
      <c r="C46" s="18">
        <f>1/(1+$B$32)^A46</f>
        <v/>
      </c>
      <c r="D46" s="5">
        <f>B46*C46</f>
        <v/>
      </c>
    </row>
    <row r="47">
      <c r="A47" t="n">
        <v>12</v>
      </c>
      <c r="B47" s="5">
        <f>C27</f>
        <v/>
      </c>
      <c r="C47" s="18">
        <f>1/(1+$B$32)^A47</f>
        <v/>
      </c>
      <c r="D47" s="5">
        <f>B47*C47</f>
        <v/>
      </c>
    </row>
    <row r="48">
      <c r="A48" s="6" t="inlineStr">
        <is>
          <t>Total PV</t>
        </is>
      </c>
      <c r="D48" s="19">
        <f>SUM(D35:D47)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3" t="inlineStr">
        <is>
          <t>Payment Schedule - Option B</t>
        </is>
      </c>
    </row>
    <row r="3">
      <c r="A3" s="6" t="inlineStr">
        <is>
          <t>Key Inputs (from Inputs sheet)</t>
        </is>
      </c>
    </row>
    <row r="4">
      <c r="A4" t="inlineStr">
        <is>
          <t>Enterprise Value</t>
        </is>
      </c>
      <c r="B4" s="12">
        <f>Inputs!C12</f>
        <v/>
      </c>
    </row>
    <row r="5">
      <c r="A5" t="inlineStr">
        <is>
          <t>Initial Purchase Amount</t>
        </is>
      </c>
      <c r="B5" s="12">
        <f>Inputs!C32</f>
        <v/>
      </c>
    </row>
    <row r="6">
      <c r="A6" t="inlineStr">
        <is>
          <t>Down Payment</t>
        </is>
      </c>
      <c r="B6" s="12">
        <f>Inputs!C33</f>
        <v/>
      </c>
    </row>
    <row r="7">
      <c r="A7" t="inlineStr">
        <is>
          <t>Seller Note</t>
        </is>
      </c>
      <c r="B7" s="12">
        <f>Inputs!C34</f>
        <v/>
      </c>
    </row>
    <row r="8">
      <c r="A8" t="inlineStr">
        <is>
          <t>Note Term</t>
        </is>
      </c>
      <c r="B8" s="14">
        <f>Inputs!C15</f>
        <v/>
      </c>
    </row>
    <row r="9">
      <c r="A9" t="inlineStr">
        <is>
          <t>0% Period</t>
        </is>
      </c>
      <c r="B9" s="14">
        <f>Inputs!C16</f>
        <v/>
      </c>
    </row>
    <row r="10">
      <c r="A10" t="inlineStr">
        <is>
          <t>Interest Rate</t>
        </is>
      </c>
      <c r="B10" s="15">
        <f>Inputs!C17</f>
        <v/>
      </c>
    </row>
    <row r="11">
      <c r="A11" t="inlineStr">
        <is>
          <t>Amortization</t>
        </is>
      </c>
      <c r="B11" s="14">
        <f>Inputs!C18</f>
        <v/>
      </c>
    </row>
    <row r="13">
      <c r="A13" s="6" t="inlineStr">
        <is>
          <t>Phase 1 Payment Schedule (40% Purchase)</t>
        </is>
      </c>
    </row>
    <row r="14">
      <c r="A14" s="16" t="inlineStr">
        <is>
          <t>Year</t>
        </is>
      </c>
      <c r="B14" s="16" t="inlineStr">
        <is>
          <t>Beginning Balance</t>
        </is>
      </c>
      <c r="C14" s="16" t="inlineStr">
        <is>
          <t>Payment</t>
        </is>
      </c>
      <c r="D14" s="16" t="inlineStr">
        <is>
          <t>Interest</t>
        </is>
      </c>
      <c r="E14" s="16" t="inlineStr">
        <is>
          <t>Principal</t>
        </is>
      </c>
      <c r="F14" s="16" t="inlineStr">
        <is>
          <t>Ending Balance</t>
        </is>
      </c>
      <c r="G14" s="16" t="inlineStr">
        <is>
          <t>Cumulative Paid</t>
        </is>
      </c>
    </row>
    <row r="15">
      <c r="A15" t="n">
        <v>0</v>
      </c>
      <c r="B15" s="5">
        <f>Inputs!C34</f>
        <v/>
      </c>
      <c r="C15" s="5">
        <f>Inputs!C33</f>
        <v/>
      </c>
      <c r="D15" s="5" t="n">
        <v>0</v>
      </c>
      <c r="E15" s="5">
        <f>Inputs!C33</f>
        <v/>
      </c>
      <c r="F15" s="5">
        <f>Inputs!C34</f>
        <v/>
      </c>
      <c r="G15" s="5">
        <f>C15</f>
        <v/>
      </c>
    </row>
    <row r="16">
      <c r="A16" t="n">
        <v>1</v>
      </c>
      <c r="B16" s="5">
        <f>F15</f>
        <v/>
      </c>
      <c r="C16" s="5">
        <f>IF(A16&lt;=B8,B7/B11,0)</f>
        <v/>
      </c>
      <c r="D16" s="5">
        <f>IF(A16&lt;=B9,0,B16*B10)</f>
        <v/>
      </c>
      <c r="E16" s="5">
        <f>C16-D16</f>
        <v/>
      </c>
      <c r="F16" s="5">
        <f>MAX(0,B16-E16)</f>
        <v/>
      </c>
      <c r="G16" s="5">
        <f>G15+C16</f>
        <v/>
      </c>
    </row>
    <row r="17">
      <c r="A17" t="n">
        <v>2</v>
      </c>
      <c r="B17" s="5">
        <f>F16</f>
        <v/>
      </c>
      <c r="C17" s="5">
        <f>IF(A17&lt;=B8,B7/B11,0)</f>
        <v/>
      </c>
      <c r="D17" s="5">
        <f>IF(A17&lt;=B9,0,B17*B10)</f>
        <v/>
      </c>
      <c r="E17" s="5">
        <f>C17-D17</f>
        <v/>
      </c>
      <c r="F17" s="5">
        <f>MAX(0,B17-E17)</f>
        <v/>
      </c>
      <c r="G17" s="5">
        <f>G16+C17</f>
        <v/>
      </c>
    </row>
    <row r="18">
      <c r="A18" t="n">
        <v>3</v>
      </c>
      <c r="B18" s="5">
        <f>F17</f>
        <v/>
      </c>
      <c r="C18" s="5">
        <f>IF(A18&lt;=B8,B7/B11,0)</f>
        <v/>
      </c>
      <c r="D18" s="5">
        <f>IF(A18&lt;=B9,0,B18*B10)</f>
        <v/>
      </c>
      <c r="E18" s="5">
        <f>C18-D18</f>
        <v/>
      </c>
      <c r="F18" s="5">
        <f>MAX(0,B18-E18)</f>
        <v/>
      </c>
      <c r="G18" s="5">
        <f>G17+C18</f>
        <v/>
      </c>
    </row>
    <row r="19">
      <c r="A19" t="n">
        <v>4</v>
      </c>
      <c r="B19" s="5">
        <f>F18</f>
        <v/>
      </c>
      <c r="C19" s="5">
        <f>IF(A19&lt;=B8,B7/B11,0)</f>
        <v/>
      </c>
      <c r="D19" s="5">
        <f>IF(A19&lt;=B9,0,B19*B10)</f>
        <v/>
      </c>
      <c r="E19" s="5">
        <f>C19-D19</f>
        <v/>
      </c>
      <c r="F19" s="5">
        <f>MAX(0,B19-E19)</f>
        <v/>
      </c>
      <c r="G19" s="5">
        <f>G18+C19</f>
        <v/>
      </c>
    </row>
    <row r="20">
      <c r="A20" t="n">
        <v>5</v>
      </c>
      <c r="B20" s="5">
        <f>F19</f>
        <v/>
      </c>
      <c r="C20" s="5">
        <f>IF(A20&lt;=B8,B7/B11,0)</f>
        <v/>
      </c>
      <c r="D20" s="5">
        <f>IF(A20&lt;=B9,0,B20*B10)</f>
        <v/>
      </c>
      <c r="E20" s="5">
        <f>C20-D20</f>
        <v/>
      </c>
      <c r="F20" s="5">
        <f>MAX(0,B20-E20)</f>
        <v/>
      </c>
      <c r="G20" s="5">
        <f>G19+C20</f>
        <v/>
      </c>
    </row>
    <row r="21">
      <c r="A21" t="n">
        <v>6</v>
      </c>
      <c r="B21" s="5">
        <f>F20</f>
        <v/>
      </c>
      <c r="C21" s="5">
        <f>IF(A21&lt;=B8,B7/B11,0)</f>
        <v/>
      </c>
      <c r="D21" s="5">
        <f>IF(A21&lt;=B9,0,B21*B10)</f>
        <v/>
      </c>
      <c r="E21" s="5">
        <f>C21-D21</f>
        <v/>
      </c>
      <c r="F21" s="5">
        <f>MAX(0,B21-E21)</f>
        <v/>
      </c>
      <c r="G21" s="5">
        <f>G20+C21</f>
        <v/>
      </c>
    </row>
    <row r="22">
      <c r="A22" t="n">
        <v>7</v>
      </c>
      <c r="B22" s="5">
        <f>F21</f>
        <v/>
      </c>
      <c r="C22" s="5">
        <f>IF(A22&lt;=B8,B7/B11,0)</f>
        <v/>
      </c>
      <c r="D22" s="5">
        <f>IF(A22&lt;=B9,0,B22*B10)</f>
        <v/>
      </c>
      <c r="E22" s="5">
        <f>C22-D22</f>
        <v/>
      </c>
      <c r="F22" s="5">
        <f>MAX(0,B22-E22)</f>
        <v/>
      </c>
      <c r="G22" s="5">
        <f>G21+C22</f>
        <v/>
      </c>
    </row>
    <row r="23">
      <c r="A23" t="n">
        <v>8</v>
      </c>
      <c r="B23" s="5">
        <f>F22</f>
        <v/>
      </c>
      <c r="C23" s="5">
        <f>IF(A23&lt;=B8,B7/B11,0)</f>
        <v/>
      </c>
      <c r="D23" s="5">
        <f>IF(A23&lt;=B9,0,B23*B10)</f>
        <v/>
      </c>
      <c r="E23" s="5">
        <f>C23-D23</f>
        <v/>
      </c>
      <c r="F23" s="5">
        <f>MAX(0,B23-E23)</f>
        <v/>
      </c>
      <c r="G23" s="5">
        <f>G22+C23</f>
        <v/>
      </c>
    </row>
    <row r="24">
      <c r="A24" t="n">
        <v>9</v>
      </c>
      <c r="B24" s="5">
        <f>F23</f>
        <v/>
      </c>
      <c r="C24" s="5">
        <f>IF(A24&lt;=B8,B7/B11,0)</f>
        <v/>
      </c>
      <c r="D24" s="5">
        <f>IF(A24&lt;=B9,0,B24*B10)</f>
        <v/>
      </c>
      <c r="E24" s="5">
        <f>C24-D24</f>
        <v/>
      </c>
      <c r="F24" s="5">
        <f>MAX(0,B24-E24)</f>
        <v/>
      </c>
      <c r="G24" s="5">
        <f>G23+C24</f>
        <v/>
      </c>
    </row>
    <row r="25">
      <c r="A25" t="n">
        <v>10</v>
      </c>
      <c r="B25" s="5">
        <f>F24</f>
        <v/>
      </c>
      <c r="C25" s="5">
        <f>IF(A25&lt;=B8,B7/B11,0)</f>
        <v/>
      </c>
      <c r="D25" s="5">
        <f>IF(A25&lt;=B9,0,B25*B10)</f>
        <v/>
      </c>
      <c r="E25" s="5">
        <f>C25-D25</f>
        <v/>
      </c>
      <c r="F25" s="5">
        <f>MAX(0,B25-E25)</f>
        <v/>
      </c>
      <c r="G25" s="5">
        <f>G24+C25</f>
        <v/>
      </c>
    </row>
    <row r="26">
      <c r="A26" t="n">
        <v>11</v>
      </c>
      <c r="B26" s="5">
        <f>F25</f>
        <v/>
      </c>
      <c r="C26" s="5">
        <f>IF(A26&lt;=B8,B7/B11,0)</f>
        <v/>
      </c>
      <c r="D26" s="5">
        <f>IF(A26&lt;=B9,0,B26*B10)</f>
        <v/>
      </c>
      <c r="E26" s="5">
        <f>C26-D26</f>
        <v/>
      </c>
      <c r="F26" s="5">
        <f>MAX(0,B26-E26)</f>
        <v/>
      </c>
      <c r="G26" s="5">
        <f>G25+C26</f>
        <v/>
      </c>
    </row>
    <row r="27">
      <c r="A27" t="n">
        <v>12</v>
      </c>
      <c r="B27" s="5">
        <f>F26</f>
        <v/>
      </c>
      <c r="C27" s="5">
        <f>IF(A27&lt;=B8,B7/B11,0)</f>
        <v/>
      </c>
      <c r="D27" s="5">
        <f>IF(A27&lt;=B9,0,B27*B10)</f>
        <v/>
      </c>
      <c r="E27" s="5">
        <f>C27-D27</f>
        <v/>
      </c>
      <c r="F27" s="5">
        <f>MAX(0,B27-E27)</f>
        <v/>
      </c>
      <c r="G27" s="5">
        <f>G26+C27</f>
        <v/>
      </c>
    </row>
    <row r="28">
      <c r="A28" s="6" t="inlineStr">
        <is>
          <t>Total</t>
        </is>
      </c>
      <c r="C28" s="17">
        <f>SUM(C15:C27)</f>
        <v/>
      </c>
      <c r="D28" s="17">
        <f>SUM(D15:D27)</f>
        <v/>
      </c>
      <c r="E28" s="17">
        <f>SUM(E15:E27)</f>
        <v/>
      </c>
      <c r="G28" s="17">
        <f>G27</f>
        <v/>
      </c>
    </row>
    <row r="31">
      <c r="A31" s="6" t="inlineStr">
        <is>
          <t>Present Value Calculation</t>
        </is>
      </c>
    </row>
    <row r="32">
      <c r="A32" t="inlineStr">
        <is>
          <t>Discount Rate</t>
        </is>
      </c>
      <c r="B32" s="7">
        <f>Inputs!B24</f>
        <v/>
      </c>
    </row>
    <row r="34">
      <c r="A34" s="6" t="inlineStr">
        <is>
          <t>Year</t>
        </is>
      </c>
      <c r="B34" s="6" t="inlineStr">
        <is>
          <t>Payment</t>
        </is>
      </c>
      <c r="C34" s="6" t="inlineStr">
        <is>
          <t>PV Factor</t>
        </is>
      </c>
      <c r="D34" s="6" t="inlineStr">
        <is>
          <t>Present Value</t>
        </is>
      </c>
    </row>
    <row r="35">
      <c r="A35" t="n">
        <v>0</v>
      </c>
      <c r="B35" s="5">
        <f>C15</f>
        <v/>
      </c>
      <c r="C35" s="18">
        <f>1/(1+$B$32)^A35</f>
        <v/>
      </c>
      <c r="D35" s="5">
        <f>B35*C35</f>
        <v/>
      </c>
    </row>
    <row r="36">
      <c r="A36" t="n">
        <v>1</v>
      </c>
      <c r="B36" s="5">
        <f>C16</f>
        <v/>
      </c>
      <c r="C36" s="18">
        <f>1/(1+$B$32)^A36</f>
        <v/>
      </c>
      <c r="D36" s="5">
        <f>B36*C36</f>
        <v/>
      </c>
    </row>
    <row r="37">
      <c r="A37" t="n">
        <v>2</v>
      </c>
      <c r="B37" s="5">
        <f>C17</f>
        <v/>
      </c>
      <c r="C37" s="18">
        <f>1/(1+$B$32)^A37</f>
        <v/>
      </c>
      <c r="D37" s="5">
        <f>B37*C37</f>
        <v/>
      </c>
    </row>
    <row r="38">
      <c r="A38" t="n">
        <v>3</v>
      </c>
      <c r="B38" s="5">
        <f>C18</f>
        <v/>
      </c>
      <c r="C38" s="18">
        <f>1/(1+$B$32)^A38</f>
        <v/>
      </c>
      <c r="D38" s="5">
        <f>B38*C38</f>
        <v/>
      </c>
    </row>
    <row r="39">
      <c r="A39" t="n">
        <v>4</v>
      </c>
      <c r="B39" s="5">
        <f>C19</f>
        <v/>
      </c>
      <c r="C39" s="18">
        <f>1/(1+$B$32)^A39</f>
        <v/>
      </c>
      <c r="D39" s="5">
        <f>B39*C39</f>
        <v/>
      </c>
    </row>
    <row r="40">
      <c r="A40" t="n">
        <v>5</v>
      </c>
      <c r="B40" s="5">
        <f>C20</f>
        <v/>
      </c>
      <c r="C40" s="18">
        <f>1/(1+$B$32)^A40</f>
        <v/>
      </c>
      <c r="D40" s="5">
        <f>B40*C40</f>
        <v/>
      </c>
    </row>
    <row r="41">
      <c r="A41" t="n">
        <v>6</v>
      </c>
      <c r="B41" s="5">
        <f>C21</f>
        <v/>
      </c>
      <c r="C41" s="18">
        <f>1/(1+$B$32)^A41</f>
        <v/>
      </c>
      <c r="D41" s="5">
        <f>B41*C41</f>
        <v/>
      </c>
    </row>
    <row r="42">
      <c r="A42" t="n">
        <v>7</v>
      </c>
      <c r="B42" s="5">
        <f>C22</f>
        <v/>
      </c>
      <c r="C42" s="18">
        <f>1/(1+$B$32)^A42</f>
        <v/>
      </c>
      <c r="D42" s="5">
        <f>B42*C42</f>
        <v/>
      </c>
    </row>
    <row r="43">
      <c r="A43" t="n">
        <v>8</v>
      </c>
      <c r="B43" s="5">
        <f>C23</f>
        <v/>
      </c>
      <c r="C43" s="18">
        <f>1/(1+$B$32)^A43</f>
        <v/>
      </c>
      <c r="D43" s="5">
        <f>B43*C43</f>
        <v/>
      </c>
    </row>
    <row r="44">
      <c r="A44" t="n">
        <v>9</v>
      </c>
      <c r="B44" s="5">
        <f>C24</f>
        <v/>
      </c>
      <c r="C44" s="18">
        <f>1/(1+$B$32)^A44</f>
        <v/>
      </c>
      <c r="D44" s="5">
        <f>B44*C44</f>
        <v/>
      </c>
    </row>
    <row r="45">
      <c r="A45" t="n">
        <v>10</v>
      </c>
      <c r="B45" s="5">
        <f>C25</f>
        <v/>
      </c>
      <c r="C45" s="18">
        <f>1/(1+$B$32)^A45</f>
        <v/>
      </c>
      <c r="D45" s="5">
        <f>B45*C45</f>
        <v/>
      </c>
    </row>
    <row r="46">
      <c r="A46" t="n">
        <v>11</v>
      </c>
      <c r="B46" s="5">
        <f>C26</f>
        <v/>
      </c>
      <c r="C46" s="18">
        <f>1/(1+$B$32)^A46</f>
        <v/>
      </c>
      <c r="D46" s="5">
        <f>B46*C46</f>
        <v/>
      </c>
    </row>
    <row r="47">
      <c r="A47" t="n">
        <v>12</v>
      </c>
      <c r="B47" s="5">
        <f>C27</f>
        <v/>
      </c>
      <c r="C47" s="18">
        <f>1/(1+$B$32)^A47</f>
        <v/>
      </c>
      <c r="D47" s="5">
        <f>B47*C47</f>
        <v/>
      </c>
    </row>
    <row r="48">
      <c r="A48" s="6" t="inlineStr">
        <is>
          <t>Total PV</t>
        </is>
      </c>
      <c r="D48" s="19">
        <f>SUM(D35:D47)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3" t="inlineStr">
        <is>
          <t>Payment Schedule - Option C</t>
        </is>
      </c>
    </row>
    <row r="3">
      <c r="A3" s="6" t="inlineStr">
        <is>
          <t>Key Inputs (from Inputs sheet)</t>
        </is>
      </c>
    </row>
    <row r="4">
      <c r="A4" t="inlineStr">
        <is>
          <t>Enterprise Value</t>
        </is>
      </c>
      <c r="B4" s="12">
        <f>Inputs!D12</f>
        <v/>
      </c>
    </row>
    <row r="5">
      <c r="A5" t="inlineStr">
        <is>
          <t>Initial Purchase Amount</t>
        </is>
      </c>
      <c r="B5" s="12">
        <f>Inputs!D32</f>
        <v/>
      </c>
    </row>
    <row r="6">
      <c r="A6" t="inlineStr">
        <is>
          <t>Down Payment</t>
        </is>
      </c>
      <c r="B6" s="12">
        <f>Inputs!D33</f>
        <v/>
      </c>
    </row>
    <row r="7">
      <c r="A7" t="inlineStr">
        <is>
          <t>Seller Note</t>
        </is>
      </c>
      <c r="B7" s="12">
        <f>Inputs!D34</f>
        <v/>
      </c>
    </row>
    <row r="8">
      <c r="A8" t="inlineStr">
        <is>
          <t>Note Term</t>
        </is>
      </c>
      <c r="B8" s="14">
        <f>Inputs!D15</f>
        <v/>
      </c>
    </row>
    <row r="9">
      <c r="A9" t="inlineStr">
        <is>
          <t>0% Period</t>
        </is>
      </c>
      <c r="B9" s="14">
        <f>Inputs!D16</f>
        <v/>
      </c>
    </row>
    <row r="10">
      <c r="A10" t="inlineStr">
        <is>
          <t>Interest Rate</t>
        </is>
      </c>
      <c r="B10" s="15">
        <f>Inputs!D17</f>
        <v/>
      </c>
    </row>
    <row r="11">
      <c r="A11" t="inlineStr">
        <is>
          <t>Amortization</t>
        </is>
      </c>
      <c r="B11" s="14">
        <f>Inputs!D18</f>
        <v/>
      </c>
    </row>
    <row r="13">
      <c r="A13" s="6" t="inlineStr">
        <is>
          <t>Phase 1 Payment Schedule (40% Purchase)</t>
        </is>
      </c>
    </row>
    <row r="14">
      <c r="A14" s="16" t="inlineStr">
        <is>
          <t>Year</t>
        </is>
      </c>
      <c r="B14" s="16" t="inlineStr">
        <is>
          <t>Beginning Balance</t>
        </is>
      </c>
      <c r="C14" s="16" t="inlineStr">
        <is>
          <t>Payment</t>
        </is>
      </c>
      <c r="D14" s="16" t="inlineStr">
        <is>
          <t>Interest</t>
        </is>
      </c>
      <c r="E14" s="16" t="inlineStr">
        <is>
          <t>Principal</t>
        </is>
      </c>
      <c r="F14" s="16" t="inlineStr">
        <is>
          <t>Ending Balance</t>
        </is>
      </c>
      <c r="G14" s="16" t="inlineStr">
        <is>
          <t>Cumulative Paid</t>
        </is>
      </c>
    </row>
    <row r="15">
      <c r="A15" t="n">
        <v>0</v>
      </c>
      <c r="B15" s="5">
        <f>Inputs!D34</f>
        <v/>
      </c>
      <c r="C15" s="5">
        <f>Inputs!D33</f>
        <v/>
      </c>
      <c r="D15" s="5" t="n">
        <v>0</v>
      </c>
      <c r="E15" s="5">
        <f>Inputs!D33</f>
        <v/>
      </c>
      <c r="F15" s="5">
        <f>Inputs!D34</f>
        <v/>
      </c>
      <c r="G15" s="5">
        <f>C15</f>
        <v/>
      </c>
    </row>
    <row r="16">
      <c r="A16" t="n">
        <v>1</v>
      </c>
      <c r="B16" s="5">
        <f>F15</f>
        <v/>
      </c>
      <c r="C16" s="5">
        <f>IF(A16&lt;=B8,B7/B11,0)</f>
        <v/>
      </c>
      <c r="D16" s="5">
        <f>IF(A16&lt;=B9,0,B16*B10)</f>
        <v/>
      </c>
      <c r="E16" s="5">
        <f>C16-D16</f>
        <v/>
      </c>
      <c r="F16" s="5">
        <f>MAX(0,B16-E16)</f>
        <v/>
      </c>
      <c r="G16" s="5">
        <f>G15+C16</f>
        <v/>
      </c>
    </row>
    <row r="17">
      <c r="A17" t="n">
        <v>2</v>
      </c>
      <c r="B17" s="5">
        <f>F16</f>
        <v/>
      </c>
      <c r="C17" s="5">
        <f>IF(A17&lt;=B8,B7/B11,0)</f>
        <v/>
      </c>
      <c r="D17" s="5">
        <f>IF(A17&lt;=B9,0,B17*B10)</f>
        <v/>
      </c>
      <c r="E17" s="5">
        <f>C17-D17</f>
        <v/>
      </c>
      <c r="F17" s="5">
        <f>MAX(0,B17-E17)</f>
        <v/>
      </c>
      <c r="G17" s="5">
        <f>G16+C17</f>
        <v/>
      </c>
    </row>
    <row r="18">
      <c r="A18" t="n">
        <v>3</v>
      </c>
      <c r="B18" s="5">
        <f>F17</f>
        <v/>
      </c>
      <c r="C18" s="5">
        <f>IF(A18&lt;=B8,B7/B11,0)</f>
        <v/>
      </c>
      <c r="D18" s="5">
        <f>IF(A18&lt;=B9,0,B18*B10)</f>
        <v/>
      </c>
      <c r="E18" s="5">
        <f>C18-D18</f>
        <v/>
      </c>
      <c r="F18" s="5">
        <f>MAX(0,B18-E18)</f>
        <v/>
      </c>
      <c r="G18" s="5">
        <f>G17+C18</f>
        <v/>
      </c>
    </row>
    <row r="19">
      <c r="A19" t="n">
        <v>4</v>
      </c>
      <c r="B19" s="5">
        <f>F18</f>
        <v/>
      </c>
      <c r="C19" s="5">
        <f>IF(A19&lt;=B8,B7/B11,0)</f>
        <v/>
      </c>
      <c r="D19" s="5">
        <f>IF(A19&lt;=B9,0,B19*B10)</f>
        <v/>
      </c>
      <c r="E19" s="5">
        <f>C19-D19</f>
        <v/>
      </c>
      <c r="F19" s="5">
        <f>MAX(0,B19-E19)</f>
        <v/>
      </c>
      <c r="G19" s="5">
        <f>G18+C19</f>
        <v/>
      </c>
    </row>
    <row r="20">
      <c r="A20" t="n">
        <v>5</v>
      </c>
      <c r="B20" s="5">
        <f>F19</f>
        <v/>
      </c>
      <c r="C20" s="5">
        <f>IF(A20&lt;=B8,B7/B11,0)</f>
        <v/>
      </c>
      <c r="D20" s="5">
        <f>IF(A20&lt;=B9,0,B20*B10)</f>
        <v/>
      </c>
      <c r="E20" s="5">
        <f>C20-D20</f>
        <v/>
      </c>
      <c r="F20" s="5">
        <f>MAX(0,B20-E20)</f>
        <v/>
      </c>
      <c r="G20" s="5">
        <f>G19+C20</f>
        <v/>
      </c>
    </row>
    <row r="21">
      <c r="A21" t="n">
        <v>6</v>
      </c>
      <c r="B21" s="5">
        <f>F20</f>
        <v/>
      </c>
      <c r="C21" s="5">
        <f>IF(A21&lt;=B8,B7/B11,0)</f>
        <v/>
      </c>
      <c r="D21" s="5">
        <f>IF(A21&lt;=B9,0,B21*B10)</f>
        <v/>
      </c>
      <c r="E21" s="5">
        <f>C21-D21</f>
        <v/>
      </c>
      <c r="F21" s="5">
        <f>MAX(0,B21-E21)</f>
        <v/>
      </c>
      <c r="G21" s="5">
        <f>G20+C21</f>
        <v/>
      </c>
    </row>
    <row r="22">
      <c r="A22" t="n">
        <v>7</v>
      </c>
      <c r="B22" s="5">
        <f>F21</f>
        <v/>
      </c>
      <c r="C22" s="5">
        <f>IF(A22&lt;=B8,B7/B11,0)</f>
        <v/>
      </c>
      <c r="D22" s="5">
        <f>IF(A22&lt;=B9,0,B22*B10)</f>
        <v/>
      </c>
      <c r="E22" s="5">
        <f>C22-D22</f>
        <v/>
      </c>
      <c r="F22" s="5">
        <f>MAX(0,B22-E22)</f>
        <v/>
      </c>
      <c r="G22" s="5">
        <f>G21+C22</f>
        <v/>
      </c>
    </row>
    <row r="23">
      <c r="A23" t="n">
        <v>8</v>
      </c>
      <c r="B23" s="5">
        <f>F22</f>
        <v/>
      </c>
      <c r="C23" s="5">
        <f>IF(A23&lt;=B8,B7/B11,0)</f>
        <v/>
      </c>
      <c r="D23" s="5">
        <f>IF(A23&lt;=B9,0,B23*B10)</f>
        <v/>
      </c>
      <c r="E23" s="5">
        <f>C23-D23</f>
        <v/>
      </c>
      <c r="F23" s="5">
        <f>MAX(0,B23-E23)</f>
        <v/>
      </c>
      <c r="G23" s="5">
        <f>G22+C23</f>
        <v/>
      </c>
    </row>
    <row r="24">
      <c r="A24" t="n">
        <v>9</v>
      </c>
      <c r="B24" s="5">
        <f>F23</f>
        <v/>
      </c>
      <c r="C24" s="5">
        <f>IF(A24&lt;=B8,B7/B11,0)</f>
        <v/>
      </c>
      <c r="D24" s="5">
        <f>IF(A24&lt;=B9,0,B24*B10)</f>
        <v/>
      </c>
      <c r="E24" s="5">
        <f>C24-D24</f>
        <v/>
      </c>
      <c r="F24" s="5">
        <f>MAX(0,B24-E24)</f>
        <v/>
      </c>
      <c r="G24" s="5">
        <f>G23+C24</f>
        <v/>
      </c>
    </row>
    <row r="25">
      <c r="A25" t="n">
        <v>10</v>
      </c>
      <c r="B25" s="5">
        <f>F24</f>
        <v/>
      </c>
      <c r="C25" s="5">
        <f>IF(A25&lt;=B8,B7/B11,0)</f>
        <v/>
      </c>
      <c r="D25" s="5">
        <f>IF(A25&lt;=B9,0,B25*B10)</f>
        <v/>
      </c>
      <c r="E25" s="5">
        <f>C25-D25</f>
        <v/>
      </c>
      <c r="F25" s="5">
        <f>MAX(0,B25-E25)</f>
        <v/>
      </c>
      <c r="G25" s="5">
        <f>G24+C25</f>
        <v/>
      </c>
    </row>
    <row r="26">
      <c r="A26" t="n">
        <v>11</v>
      </c>
      <c r="B26" s="5">
        <f>F25</f>
        <v/>
      </c>
      <c r="C26" s="5">
        <f>IF(A26&lt;=B8,B7/B11,0)</f>
        <v/>
      </c>
      <c r="D26" s="5">
        <f>IF(A26&lt;=B9,0,B26*B10)</f>
        <v/>
      </c>
      <c r="E26" s="5">
        <f>C26-D26</f>
        <v/>
      </c>
      <c r="F26" s="5">
        <f>MAX(0,B26-E26)</f>
        <v/>
      </c>
      <c r="G26" s="5">
        <f>G25+C26</f>
        <v/>
      </c>
    </row>
    <row r="27">
      <c r="A27" t="n">
        <v>12</v>
      </c>
      <c r="B27" s="5">
        <f>F26</f>
        <v/>
      </c>
      <c r="C27" s="5">
        <f>IF(A27&lt;=B8,B7/B11,0)</f>
        <v/>
      </c>
      <c r="D27" s="5">
        <f>IF(A27&lt;=B9,0,B27*B10)</f>
        <v/>
      </c>
      <c r="E27" s="5">
        <f>C27-D27</f>
        <v/>
      </c>
      <c r="F27" s="5">
        <f>MAX(0,B27-E27)</f>
        <v/>
      </c>
      <c r="G27" s="5">
        <f>G26+C27</f>
        <v/>
      </c>
    </row>
    <row r="28">
      <c r="A28" s="6" t="inlineStr">
        <is>
          <t>Total</t>
        </is>
      </c>
      <c r="C28" s="17">
        <f>SUM(C15:C27)</f>
        <v/>
      </c>
      <c r="D28" s="17">
        <f>SUM(D15:D27)</f>
        <v/>
      </c>
      <c r="E28" s="17">
        <f>SUM(E15:E27)</f>
        <v/>
      </c>
      <c r="G28" s="17">
        <f>G27</f>
        <v/>
      </c>
    </row>
    <row r="31">
      <c r="A31" s="6" t="inlineStr">
        <is>
          <t>Present Value Calculation</t>
        </is>
      </c>
    </row>
    <row r="32">
      <c r="A32" t="inlineStr">
        <is>
          <t>Discount Rate</t>
        </is>
      </c>
      <c r="B32" s="7">
        <f>Inputs!B24</f>
        <v/>
      </c>
    </row>
    <row r="34">
      <c r="A34" s="6" t="inlineStr">
        <is>
          <t>Year</t>
        </is>
      </c>
      <c r="B34" s="6" t="inlineStr">
        <is>
          <t>Payment</t>
        </is>
      </c>
      <c r="C34" s="6" t="inlineStr">
        <is>
          <t>PV Factor</t>
        </is>
      </c>
      <c r="D34" s="6" t="inlineStr">
        <is>
          <t>Present Value</t>
        </is>
      </c>
    </row>
    <row r="35">
      <c r="A35" t="n">
        <v>0</v>
      </c>
      <c r="B35" s="5">
        <f>C15</f>
        <v/>
      </c>
      <c r="C35" s="18">
        <f>1/(1+$B$32)^A35</f>
        <v/>
      </c>
      <c r="D35" s="5">
        <f>B35*C35</f>
        <v/>
      </c>
    </row>
    <row r="36">
      <c r="A36" t="n">
        <v>1</v>
      </c>
      <c r="B36" s="5">
        <f>C16</f>
        <v/>
      </c>
      <c r="C36" s="18">
        <f>1/(1+$B$32)^A36</f>
        <v/>
      </c>
      <c r="D36" s="5">
        <f>B36*C36</f>
        <v/>
      </c>
    </row>
    <row r="37">
      <c r="A37" t="n">
        <v>2</v>
      </c>
      <c r="B37" s="5">
        <f>C17</f>
        <v/>
      </c>
      <c r="C37" s="18">
        <f>1/(1+$B$32)^A37</f>
        <v/>
      </c>
      <c r="D37" s="5">
        <f>B37*C37</f>
        <v/>
      </c>
    </row>
    <row r="38">
      <c r="A38" t="n">
        <v>3</v>
      </c>
      <c r="B38" s="5">
        <f>C18</f>
        <v/>
      </c>
      <c r="C38" s="18">
        <f>1/(1+$B$32)^A38</f>
        <v/>
      </c>
      <c r="D38" s="5">
        <f>B38*C38</f>
        <v/>
      </c>
    </row>
    <row r="39">
      <c r="A39" t="n">
        <v>4</v>
      </c>
      <c r="B39" s="5">
        <f>C19</f>
        <v/>
      </c>
      <c r="C39" s="18">
        <f>1/(1+$B$32)^A39</f>
        <v/>
      </c>
      <c r="D39" s="5">
        <f>B39*C39</f>
        <v/>
      </c>
    </row>
    <row r="40">
      <c r="A40" t="n">
        <v>5</v>
      </c>
      <c r="B40" s="5">
        <f>C20</f>
        <v/>
      </c>
      <c r="C40" s="18">
        <f>1/(1+$B$32)^A40</f>
        <v/>
      </c>
      <c r="D40" s="5">
        <f>B40*C40</f>
        <v/>
      </c>
    </row>
    <row r="41">
      <c r="A41" t="n">
        <v>6</v>
      </c>
      <c r="B41" s="5">
        <f>C21</f>
        <v/>
      </c>
      <c r="C41" s="18">
        <f>1/(1+$B$32)^A41</f>
        <v/>
      </c>
      <c r="D41" s="5">
        <f>B41*C41</f>
        <v/>
      </c>
    </row>
    <row r="42">
      <c r="A42" t="n">
        <v>7</v>
      </c>
      <c r="B42" s="5">
        <f>C22</f>
        <v/>
      </c>
      <c r="C42" s="18">
        <f>1/(1+$B$32)^A42</f>
        <v/>
      </c>
      <c r="D42" s="5">
        <f>B42*C42</f>
        <v/>
      </c>
    </row>
    <row r="43">
      <c r="A43" t="n">
        <v>8</v>
      </c>
      <c r="B43" s="5">
        <f>C23</f>
        <v/>
      </c>
      <c r="C43" s="18">
        <f>1/(1+$B$32)^A43</f>
        <v/>
      </c>
      <c r="D43" s="5">
        <f>B43*C43</f>
        <v/>
      </c>
    </row>
    <row r="44">
      <c r="A44" t="n">
        <v>9</v>
      </c>
      <c r="B44" s="5">
        <f>C24</f>
        <v/>
      </c>
      <c r="C44" s="18">
        <f>1/(1+$B$32)^A44</f>
        <v/>
      </c>
      <c r="D44" s="5">
        <f>B44*C44</f>
        <v/>
      </c>
    </row>
    <row r="45">
      <c r="A45" t="n">
        <v>10</v>
      </c>
      <c r="B45" s="5">
        <f>C25</f>
        <v/>
      </c>
      <c r="C45" s="18">
        <f>1/(1+$B$32)^A45</f>
        <v/>
      </c>
      <c r="D45" s="5">
        <f>B45*C45</f>
        <v/>
      </c>
    </row>
    <row r="46">
      <c r="A46" t="n">
        <v>11</v>
      </c>
      <c r="B46" s="5">
        <f>C26</f>
        <v/>
      </c>
      <c r="C46" s="18">
        <f>1/(1+$B$32)^A46</f>
        <v/>
      </c>
      <c r="D46" s="5">
        <f>B46*C46</f>
        <v/>
      </c>
    </row>
    <row r="47">
      <c r="A47" t="n">
        <v>12</v>
      </c>
      <c r="B47" s="5">
        <f>C27</f>
        <v/>
      </c>
      <c r="C47" s="18">
        <f>1/(1+$B$32)^A47</f>
        <v/>
      </c>
      <c r="D47" s="5">
        <f>B47*C47</f>
        <v/>
      </c>
    </row>
    <row r="48">
      <c r="A48" s="6" t="inlineStr">
        <is>
          <t>Total PV</t>
        </is>
      </c>
      <c r="D48" s="19">
        <f>SUM(D35:D47)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Seller vs Buyer Perspectives</t>
        </is>
      </c>
    </row>
    <row r="3">
      <c r="A3" s="3" t="inlineStr">
        <is>
          <t>COLBERT'S PERSPECTIVE (What Seller Sees)</t>
        </is>
      </c>
    </row>
    <row r="4">
      <c r="A4" s="6" t="inlineStr">
        <is>
          <t>What Matters to Colbert</t>
        </is>
      </c>
      <c r="B4" s="6" t="inlineStr">
        <is>
          <t>Option A</t>
        </is>
      </c>
      <c r="C4" s="6" t="inlineStr">
        <is>
          <t>Option B</t>
        </is>
      </c>
      <c r="D4" s="6" t="inlineStr">
        <is>
          <t>Option C</t>
        </is>
      </c>
      <c r="E4" s="6" t="inlineStr">
        <is>
          <t>Winner</t>
        </is>
      </c>
    </row>
    <row r="5">
      <c r="A5" t="inlineStr">
        <is>
          <t>Headline Number</t>
        </is>
      </c>
      <c r="B5" s="5">
        <f>Inputs!B12</f>
        <v/>
      </c>
      <c r="C5" s="5">
        <f>Inputs!C12</f>
        <v/>
      </c>
      <c r="D5" s="5">
        <f>Inputs!D12</f>
        <v/>
      </c>
      <c r="E5" t="inlineStr">
        <is>
          <t>Option C</t>
        </is>
      </c>
    </row>
    <row r="6">
      <c r="A6" t="inlineStr">
        <is>
          <t>Cash at Close</t>
        </is>
      </c>
      <c r="B6" s="5">
        <f>Inputs!B33</f>
        <v/>
      </c>
      <c r="C6" s="5">
        <f>Inputs!C33</f>
        <v/>
      </c>
      <c r="D6" s="5">
        <f>Inputs!D33</f>
        <v/>
      </c>
      <c r="E6" t="inlineStr">
        <is>
          <t>Option C</t>
        </is>
      </c>
    </row>
    <row r="7">
      <c r="A7" t="inlineStr">
        <is>
          <t>Annual Income Y1-5 (note only)</t>
        </is>
      </c>
      <c r="B7" s="5">
        <f>Inputs!B34/Inputs!B18</f>
        <v/>
      </c>
      <c r="C7" s="5">
        <f>Inputs!C34/Inputs!C18</f>
        <v/>
      </c>
      <c r="D7" s="5">
        <f>Inputs!D34/Inputs!D18</f>
        <v/>
      </c>
      <c r="E7" t="inlineStr">
        <is>
          <t>Option B</t>
        </is>
      </c>
    </row>
    <row r="8">
      <c r="A8" t="inlineStr">
        <is>
          <t>+ Consulting</t>
        </is>
      </c>
      <c r="B8" s="5">
        <f>Inputs!B19</f>
        <v/>
      </c>
      <c r="C8" s="5">
        <f>Inputs!C19</f>
        <v/>
      </c>
      <c r="D8" s="5">
        <f>Inputs!D19</f>
        <v/>
      </c>
      <c r="E8" t="inlineStr">
        <is>
          <t>Option C</t>
        </is>
      </c>
    </row>
    <row r="9">
      <c r="A9" t="inlineStr">
        <is>
          <t>Total Annual Y1-5</t>
        </is>
      </c>
      <c r="B9" s="5">
        <f>Inputs!B34/Inputs!B18+Inputs!B19</f>
        <v/>
      </c>
      <c r="C9" s="5">
        <f>Inputs!C34/Inputs!C18+Inputs!C19</f>
        <v/>
      </c>
      <c r="D9" s="5">
        <f>Inputs!D34/Inputs!D18+Inputs!D19</f>
        <v/>
      </c>
      <c r="E9" t="inlineStr">
        <is>
          <t>Option C</t>
        </is>
      </c>
    </row>
    <row r="10">
      <c r="A10" t="inlineStr">
        <is>
          <t>Legacy/Pride Factor</t>
        </is>
      </c>
      <c r="B10" t="inlineStr">
        <is>
          <t>"Modest"</t>
        </is>
      </c>
      <c r="C10" t="inlineStr">
        <is>
          <t>"Fair"</t>
        </is>
      </c>
      <c r="D10" t="inlineStr">
        <is>
          <t>"Premium"</t>
        </is>
      </c>
      <c r="E10" t="inlineStr">
        <is>
          <t>Option C</t>
        </is>
      </c>
    </row>
    <row r="11">
      <c r="A11" t="inlineStr">
        <is>
          <t>Total Nominal Received</t>
        </is>
      </c>
      <c r="B11" s="5">
        <f>Inputs!B12+Inputs!B36</f>
        <v/>
      </c>
      <c r="C11" s="5">
        <f>Inputs!C12+Inputs!C36</f>
        <v/>
      </c>
      <c r="D11" s="5">
        <f>Inputs!D12+Inputs!D36</f>
        <v/>
      </c>
      <c r="E11" t="inlineStr">
        <is>
          <t>Option C</t>
        </is>
      </c>
    </row>
    <row r="14">
      <c r="A14" s="3" t="inlineStr">
        <is>
          <t>BELKIN'S PERSPECTIVE (True Economics)</t>
        </is>
      </c>
    </row>
    <row r="15">
      <c r="A15" s="6" t="inlineStr">
        <is>
          <t>What Matters to Belkin</t>
        </is>
      </c>
      <c r="B15" s="6" t="inlineStr">
        <is>
          <t>Option A</t>
        </is>
      </c>
      <c r="C15" s="6" t="inlineStr">
        <is>
          <t>Option B</t>
        </is>
      </c>
      <c r="D15" s="6" t="inlineStr">
        <is>
          <t>Option C</t>
        </is>
      </c>
      <c r="E15" s="6" t="inlineStr">
        <is>
          <t>Best Value</t>
        </is>
      </c>
    </row>
    <row r="16">
      <c r="A16" t="inlineStr">
        <is>
          <t>Headline (Face Value)</t>
        </is>
      </c>
      <c r="B16" s="5">
        <f>Inputs!B12</f>
        <v/>
      </c>
      <c r="C16" s="5">
        <f>Inputs!C12</f>
        <v/>
      </c>
      <c r="D16" s="5">
        <f>Inputs!D12</f>
        <v/>
      </c>
      <c r="E16" t="inlineStr"/>
    </row>
    <row r="17">
      <c r="A17" t="inlineStr">
        <is>
          <t>Est. Present Value</t>
        </is>
      </c>
      <c r="B17" s="5">
        <f>Inputs!B33+Inputs!B34*0.6+Inputs!B35*0.55</f>
        <v/>
      </c>
      <c r="C17" s="5">
        <f>Inputs!C33+Inputs!C34*0.65+Inputs!C35*0.58</f>
        <v/>
      </c>
      <c r="D17" s="5">
        <f>Inputs!D33+Inputs!D34*0.55+Inputs!D35*0.50</f>
        <v/>
      </c>
      <c r="E17" t="inlineStr">
        <is>
          <t>Option A</t>
        </is>
      </c>
    </row>
    <row r="18">
      <c r="A18" t="inlineStr">
        <is>
          <t>PV per $1 Headline</t>
        </is>
      </c>
      <c r="B18" s="7">
        <f>(Inputs!B33+Inputs!B34*0.6+Inputs!B35*0.55)/Inputs!B12</f>
        <v/>
      </c>
      <c r="C18" s="7">
        <f>(Inputs!C33+Inputs!C34*0.65+Inputs!C35*0.58)/Inputs!C12</f>
        <v/>
      </c>
      <c r="D18" s="7">
        <f>(Inputs!D33+Inputs!D34*0.55+Inputs!D35*0.50)/Inputs!D12</f>
        <v/>
      </c>
      <c r="E18" t="inlineStr">
        <is>
          <t>Option C</t>
        </is>
      </c>
    </row>
    <row r="19">
      <c r="A19" t="inlineStr">
        <is>
          <t>Out-of-Pocket Year 1</t>
        </is>
      </c>
      <c r="B19" s="5">
        <f>Inputs!B33+Inputs!B34/Inputs!B18+Inputs!B19</f>
        <v/>
      </c>
      <c r="C19" s="5">
        <f>Inputs!C33+Inputs!C34/Inputs!C18+Inputs!C19</f>
        <v/>
      </c>
      <c r="D19" s="5">
        <f>Inputs!D33+Inputs!D34/Inputs!D18+Inputs!D19</f>
        <v/>
      </c>
      <c r="E19" t="inlineStr">
        <is>
          <t>Option A</t>
        </is>
      </c>
    </row>
    <row r="20">
      <c r="A20" t="inlineStr">
        <is>
          <t>Years Interest-Free</t>
        </is>
      </c>
      <c r="B20">
        <f>Inputs!B16</f>
        <v/>
      </c>
      <c r="C20">
        <f>Inputs!C16</f>
        <v/>
      </c>
      <c r="D20">
        <f>Inputs!D16</f>
        <v/>
      </c>
      <c r="E20" t="inlineStr">
        <is>
          <t>A or C</t>
        </is>
      </c>
    </row>
    <row r="21">
      <c r="A21" t="inlineStr">
        <is>
          <t>Negotiation Flexibility</t>
        </is>
      </c>
      <c r="B21" t="inlineStr">
        <is>
          <t>"High"</t>
        </is>
      </c>
      <c r="C21" t="inlineStr">
        <is>
          <t>"Medium"</t>
        </is>
      </c>
      <c r="D21" t="inlineStr">
        <is>
          <t>"Low"</t>
        </is>
      </c>
      <c r="E21" t="inlineStr">
        <is>
          <t>Option A</t>
        </is>
      </c>
    </row>
    <row r="22">
      <c r="A22" t="inlineStr">
        <is>
          <t>Relationship Preservation</t>
        </is>
      </c>
      <c r="B22" t="inlineStr">
        <is>
          <t>"Risky"</t>
        </is>
      </c>
      <c r="C22" t="inlineStr">
        <is>
          <t>"Good"</t>
        </is>
      </c>
      <c r="D22" t="inlineStr">
        <is>
          <t>"Excellent"</t>
        </is>
      </c>
      <c r="E22" t="inlineStr">
        <is>
          <t>Option C</t>
        </is>
      </c>
    </row>
    <row r="25">
      <c r="A25" s="3" t="inlineStr">
        <is>
          <t>KEY INSIGHT</t>
        </is>
      </c>
    </row>
    <row r="26">
      <c r="A26" s="20" t="inlineStr">
        <is>
          <t>Option C costs ~14% more in PV than Option B, but gives 25% higher headline.
"PV per $1 Headline" is lowest for Option C = best value per dollar of perceived price.
Lead with Option C - it optimizes for psychology while minimizing true cost.</t>
        </is>
      </c>
    </row>
    <row r="27"/>
    <row r="28"/>
  </sheetData>
  <mergeCells count="4">
    <mergeCell ref="A14:E14"/>
    <mergeCell ref="A25:E25"/>
    <mergeCell ref="A26:E28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8" t="inlineStr">
        <is>
          <t>What-If Scenario Analysis</t>
        </is>
      </c>
    </row>
    <row r="3">
      <c r="A3" s="21" t="inlineStr">
        <is>
          <t>Adjust the yellow cells to see how different scenarios affect the deal</t>
        </is>
      </c>
    </row>
    <row r="5">
      <c r="A5" s="3" t="inlineStr">
        <is>
          <t>SCENARIO INPUTS</t>
        </is>
      </c>
    </row>
    <row r="6">
      <c r="A6" t="inlineStr">
        <is>
          <t>Custom Enterprise Value</t>
        </is>
      </c>
      <c r="B6" s="9" t="n">
        <v>8500000</v>
      </c>
    </row>
    <row r="7">
      <c r="A7" t="inlineStr">
        <is>
          <t>Custom Down Payment %</t>
        </is>
      </c>
      <c r="B7" s="10" t="n">
        <v>0.15</v>
      </c>
    </row>
    <row r="8">
      <c r="A8" t="inlineStr">
        <is>
          <t>Custom 0% Interest Period</t>
        </is>
      </c>
      <c r="B8" s="10" t="n">
        <v>4</v>
      </c>
    </row>
    <row r="9">
      <c r="A9" t="inlineStr">
        <is>
          <t>Custom Note Term</t>
        </is>
      </c>
      <c r="B9" s="11" t="n">
        <v>8</v>
      </c>
    </row>
    <row r="10">
      <c r="A10" t="inlineStr">
        <is>
          <t>Custom Interest Rate (AFR)</t>
        </is>
      </c>
      <c r="B10" s="10" t="n">
        <v>0.045</v>
      </c>
    </row>
    <row r="11">
      <c r="A11" t="inlineStr">
        <is>
          <t>Custom Amortization Years</t>
        </is>
      </c>
      <c r="B11" s="11" t="n">
        <v>20</v>
      </c>
    </row>
    <row r="12">
      <c r="A12" t="inlineStr">
        <is>
          <t>Custom Consulting $/Year</t>
        </is>
      </c>
      <c r="B12" s="9" t="n">
        <v>100000</v>
      </c>
    </row>
    <row r="13">
      <c r="A13" t="inlineStr">
        <is>
          <t>Custom Consulting Years</t>
        </is>
      </c>
      <c r="B13" s="11" t="n">
        <v>3</v>
      </c>
    </row>
    <row r="15">
      <c r="A15" s="3" t="inlineStr">
        <is>
          <t>SCENARIO RESULTS</t>
        </is>
      </c>
    </row>
    <row r="16">
      <c r="A16" t="inlineStr">
        <is>
          <t>Initial Purchase (40%)</t>
        </is>
      </c>
      <c r="B16" s="15">
        <f>B6*0.4</f>
        <v/>
      </c>
    </row>
    <row r="17">
      <c r="A17" t="inlineStr">
        <is>
          <t>Down Payment</t>
        </is>
      </c>
      <c r="B17" s="12">
        <f>B16*B7</f>
        <v/>
      </c>
    </row>
    <row r="18">
      <c r="A18" t="inlineStr">
        <is>
          <t>Seller Note</t>
        </is>
      </c>
      <c r="B18" s="12">
        <f>B16-B17</f>
        <v/>
      </c>
    </row>
    <row r="19">
      <c r="A19" t="inlineStr">
        <is>
          <t>Est. Annual Payment (0% period)</t>
        </is>
      </c>
      <c r="B19" s="15">
        <f>B18/B11</f>
        <v/>
      </c>
    </row>
    <row r="20">
      <c r="A20" t="inlineStr">
        <is>
          <t>Remaining 60%</t>
        </is>
      </c>
      <c r="B20" s="15">
        <f>B6*0.6</f>
        <v/>
      </c>
    </row>
    <row r="21">
      <c r="A21" t="inlineStr">
        <is>
          <t>Total Consulting</t>
        </is>
      </c>
      <c r="B21" s="12">
        <f>B12*B13</f>
        <v/>
      </c>
    </row>
    <row r="22">
      <c r="A22" t="inlineStr">
        <is>
          <t>Grand Total Nominal</t>
        </is>
      </c>
      <c r="B22" s="12">
        <f>B6+B21</f>
        <v/>
      </c>
    </row>
    <row r="23">
      <c r="A23" t="inlineStr"/>
    </row>
    <row r="24">
      <c r="A24" t="inlineStr">
        <is>
          <t>Est. PV (rough)</t>
        </is>
      </c>
      <c r="B24" s="12">
        <f>B17+B18*0.6+B20*0.55+B21*0.7</f>
        <v/>
      </c>
    </row>
    <row r="25">
      <c r="A25" t="inlineStr">
        <is>
          <t>PV as % of Headline</t>
        </is>
      </c>
      <c r="B25" s="15">
        <f>B24/B6</f>
        <v/>
      </c>
    </row>
    <row r="27">
      <c r="A27" s="3" t="inlineStr">
        <is>
          <t>COMPARISON TO BASE OPTIONS</t>
        </is>
      </c>
    </row>
    <row r="28">
      <c r="A28" s="6" t="inlineStr">
        <is>
          <t>Metric</t>
        </is>
      </c>
      <c r="B28" s="6" t="inlineStr">
        <is>
          <t>Your Scenario</t>
        </is>
      </c>
      <c r="C28" s="6" t="inlineStr">
        <is>
          <t>Option B</t>
        </is>
      </c>
      <c r="D28" s="6" t="inlineStr">
        <is>
          <t>Option C</t>
        </is>
      </c>
    </row>
    <row r="29">
      <c r="A29" t="inlineStr">
        <is>
          <t>Headline</t>
        </is>
      </c>
      <c r="B29" s="5">
        <f>B6</f>
        <v/>
      </c>
      <c r="C29" s="5">
        <f>Inputs!C12</f>
        <v/>
      </c>
      <c r="D29" s="5">
        <f>Inputs!D12</f>
        <v/>
      </c>
    </row>
    <row r="30">
      <c r="A30" t="inlineStr">
        <is>
          <t>Down Payment</t>
        </is>
      </c>
      <c r="B30" s="5">
        <f>B17</f>
        <v/>
      </c>
      <c r="C30" s="5">
        <f>Inputs!C33</f>
        <v/>
      </c>
      <c r="D30" s="5">
        <f>Inputs!D33</f>
        <v/>
      </c>
    </row>
    <row r="31">
      <c r="A31" t="inlineStr">
        <is>
          <t>Est. PV</t>
        </is>
      </c>
      <c r="B31" s="5">
        <f>B24</f>
        <v/>
      </c>
      <c r="C31" s="5">
        <f>Inputs!C33+Inputs!C34*0.65+Inputs!C35*0.58</f>
        <v/>
      </c>
      <c r="D31" s="5">
        <f>Inputs!D33+Inputs!D34*0.55+Inputs!D35*0.50</f>
        <v/>
      </c>
    </row>
    <row r="32">
      <c r="A32" t="inlineStr">
        <is>
          <t>PV/Headline</t>
        </is>
      </c>
      <c r="B32" s="7">
        <f>B25</f>
        <v/>
      </c>
      <c r="C32" s="7">
        <f>(Inputs!C33+Inputs!C34*0.65+Inputs!C35*0.58)/Inputs!C12</f>
        <v/>
      </c>
      <c r="D32" s="7">
        <f>(Inputs!D33+Inputs!D34*0.55+Inputs!D35*0.50)/Inputs!D12</f>
        <v/>
      </c>
    </row>
  </sheetData>
  <mergeCells count="3">
    <mergeCell ref="A5:C5"/>
    <mergeCell ref="A27:D27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2026-02-04T18:17:39Z</dcterms:created>
  <dcterms:modified xsi:type="dcterms:W3CDTF">2026-02-04T18:17:39Z</dcterms:modified>
</cp:coreProperties>
</file>